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SD\Desktop\Archivos de prueba\"/>
    </mc:Choice>
  </mc:AlternateContent>
  <xr:revisionPtr revIDLastSave="0" documentId="13_ncr:1_{DA12FD08-8EAE-49F7-8723-ACA670D3A5C8}" xr6:coauthVersionLast="47" xr6:coauthVersionMax="47" xr10:uidLastSave="{00000000-0000-0000-0000-000000000000}"/>
  <bookViews>
    <workbookView xWindow="760" yWindow="760" windowWidth="14400" windowHeight="7360" activeTab="1" xr2:uid="{59D73E4E-7455-4BFE-B89A-82F6886F6827}"/>
  </bookViews>
  <sheets>
    <sheet name="POLIZARIO" sheetId="1" r:id="rId1"/>
    <sheet name="PROPUESTA" sheetId="2" r:id="rId2"/>
    <sheet name="MODIFICACIONES" sheetId="5" r:id="rId3"/>
    <sheet name="Hoja2" sheetId="3" r:id="rId4"/>
    <sheet name="DATOS" sheetId="6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L52" i="2" l="1"/>
  <c r="AK52" i="2"/>
  <c r="AK54" i="2" s="1"/>
  <c r="AK57" i="2" s="1"/>
  <c r="AN50" i="2"/>
  <c r="AM50" i="2"/>
  <c r="AN49" i="2"/>
  <c r="AM49" i="2"/>
  <c r="AN48" i="2"/>
  <c r="AM48" i="2"/>
  <c r="AN47" i="2"/>
  <c r="AM47" i="2"/>
  <c r="AN46" i="2"/>
  <c r="AM46" i="2"/>
  <c r="AN45" i="2"/>
  <c r="AM45" i="2"/>
  <c r="AN44" i="2"/>
  <c r="AM44" i="2"/>
  <c r="AN43" i="2"/>
  <c r="AM43" i="2"/>
  <c r="AN42" i="2"/>
  <c r="AM42" i="2"/>
  <c r="AN41" i="2"/>
  <c r="AM41" i="2"/>
  <c r="AN40" i="2"/>
  <c r="AM40" i="2"/>
  <c r="AN39" i="2"/>
  <c r="AM39" i="2"/>
  <c r="AN38" i="2"/>
  <c r="AM38" i="2"/>
  <c r="AN37" i="2"/>
  <c r="AN52" i="2" s="1"/>
  <c r="AM37" i="2"/>
  <c r="AM52" i="2" s="1"/>
  <c r="AM54" i="2" s="1"/>
  <c r="AD52" i="2"/>
  <c r="AC52" i="2"/>
  <c r="AC54" i="2" s="1"/>
  <c r="AC57" i="2" s="1"/>
  <c r="AF50" i="2"/>
  <c r="AE50" i="2"/>
  <c r="AF49" i="2"/>
  <c r="AE49" i="2"/>
  <c r="AF48" i="2"/>
  <c r="AE48" i="2"/>
  <c r="AF47" i="2"/>
  <c r="AE47" i="2"/>
  <c r="AF46" i="2"/>
  <c r="AE46" i="2"/>
  <c r="AF45" i="2"/>
  <c r="AE45" i="2"/>
  <c r="AF44" i="2"/>
  <c r="AE44" i="2"/>
  <c r="AF43" i="2"/>
  <c r="AE43" i="2"/>
  <c r="AF42" i="2"/>
  <c r="AE42" i="2"/>
  <c r="AF41" i="2"/>
  <c r="AE41" i="2"/>
  <c r="AF40" i="2"/>
  <c r="AE40" i="2"/>
  <c r="AF39" i="2"/>
  <c r="AE39" i="2"/>
  <c r="AF38" i="2"/>
  <c r="AE38" i="2"/>
  <c r="AF37" i="2"/>
  <c r="AF52" i="2" s="1"/>
  <c r="AE37" i="2"/>
  <c r="AE52" i="2" s="1"/>
  <c r="AE54" i="2" s="1"/>
  <c r="V52" i="2"/>
  <c r="U52" i="2"/>
  <c r="U54" i="2" s="1"/>
  <c r="U57" i="2" s="1"/>
  <c r="X50" i="2"/>
  <c r="W50" i="2"/>
  <c r="X49" i="2"/>
  <c r="W49" i="2"/>
  <c r="X48" i="2"/>
  <c r="W48" i="2"/>
  <c r="X47" i="2"/>
  <c r="W47" i="2"/>
  <c r="X46" i="2"/>
  <c r="W46" i="2"/>
  <c r="X45" i="2"/>
  <c r="W45" i="2"/>
  <c r="X44" i="2"/>
  <c r="W44" i="2"/>
  <c r="X43" i="2"/>
  <c r="W43" i="2"/>
  <c r="X42" i="2"/>
  <c r="W42" i="2"/>
  <c r="X41" i="2"/>
  <c r="W41" i="2"/>
  <c r="X40" i="2"/>
  <c r="W40" i="2"/>
  <c r="X39" i="2"/>
  <c r="W39" i="2"/>
  <c r="X38" i="2"/>
  <c r="W38" i="2"/>
  <c r="X37" i="2"/>
  <c r="X52" i="2" s="1"/>
  <c r="W37" i="2"/>
  <c r="W52" i="2" s="1"/>
  <c r="N52" i="2"/>
  <c r="M52" i="2"/>
  <c r="M54" i="2" s="1"/>
  <c r="M57" i="2" s="1"/>
  <c r="P50" i="2"/>
  <c r="O50" i="2"/>
  <c r="P49" i="2"/>
  <c r="O49" i="2"/>
  <c r="P48" i="2"/>
  <c r="O48" i="2"/>
  <c r="P47" i="2"/>
  <c r="O47" i="2"/>
  <c r="P46" i="2"/>
  <c r="O46" i="2"/>
  <c r="P45" i="2"/>
  <c r="O45" i="2"/>
  <c r="P44" i="2"/>
  <c r="O44" i="2"/>
  <c r="P43" i="2"/>
  <c r="O43" i="2"/>
  <c r="P42" i="2"/>
  <c r="O42" i="2"/>
  <c r="P41" i="2"/>
  <c r="O41" i="2"/>
  <c r="P40" i="2"/>
  <c r="O40" i="2"/>
  <c r="P39" i="2"/>
  <c r="O39" i="2"/>
  <c r="P38" i="2"/>
  <c r="P52" i="2" s="1"/>
  <c r="O38" i="2"/>
  <c r="P37" i="2"/>
  <c r="O37" i="2"/>
  <c r="O52" i="2" s="1"/>
  <c r="O54" i="2" s="1"/>
  <c r="F52" i="2"/>
  <c r="E52" i="2"/>
  <c r="G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W54" i="2" l="1"/>
  <c r="E54" i="2"/>
  <c r="E57" i="2" s="1"/>
  <c r="H52" i="2"/>
  <c r="G52" i="2"/>
  <c r="G54" i="2" l="1"/>
  <c r="E56" i="2" l="1"/>
  <c r="AK56" i="2"/>
  <c r="M56" i="2"/>
  <c r="U56" i="2"/>
  <c r="AC56" i="2"/>
</calcChain>
</file>

<file path=xl/sharedStrings.xml><?xml version="1.0" encoding="utf-8"?>
<sst xmlns="http://schemas.openxmlformats.org/spreadsheetml/2006/main" count="256" uniqueCount="51">
  <si>
    <t>NPOLIZA</t>
  </si>
  <si>
    <t>Contratante</t>
  </si>
  <si>
    <t>a</t>
  </si>
  <si>
    <t>b</t>
  </si>
  <si>
    <t>c</t>
  </si>
  <si>
    <t>d</t>
  </si>
  <si>
    <t>e</t>
  </si>
  <si>
    <t>f</t>
  </si>
  <si>
    <t>g</t>
  </si>
  <si>
    <t>h</t>
  </si>
  <si>
    <t>Resumen de polizas</t>
  </si>
  <si>
    <t>Tabla</t>
  </si>
  <si>
    <t>edad</t>
  </si>
  <si>
    <t>00-04</t>
  </si>
  <si>
    <t>05-09</t>
  </si>
  <si>
    <t>10-14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</si>
  <si>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</si>
  <si>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</si>
  <si>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</si>
  <si>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</si>
  <si>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</si>
  <si>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</si>
  <si>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</si>
  <si>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</si>
  <si>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</si>
  <si>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</si>
  <si>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65-69</t>
  </si>
  <si>
    <t>HOMBRE</t>
  </si>
  <si>
    <t>MUJER</t>
  </si>
  <si>
    <t>CENSO</t>
  </si>
  <si>
    <t>TARIFA</t>
  </si>
  <si>
    <t>PRIMA TOTAL</t>
  </si>
  <si>
    <t>Edad</t>
  </si>
  <si>
    <t>Tarifa Hombre</t>
  </si>
  <si>
    <t>Tarifa Mujer</t>
  </si>
  <si>
    <t>Censo Hombre</t>
  </si>
  <si>
    <t>Censo Mujer</t>
  </si>
  <si>
    <t>Prima Total Hombre</t>
  </si>
  <si>
    <t>Prima Total Mujer</t>
  </si>
  <si>
    <t>SUBTOTAL</t>
  </si>
  <si>
    <t>PRIMA NETA</t>
  </si>
  <si>
    <t>TOTAL</t>
  </si>
  <si>
    <t>TOTAL ASEGURADOS</t>
  </si>
  <si>
    <t>RAMSUBRAMO</t>
  </si>
  <si>
    <t>NSUB</t>
  </si>
  <si>
    <t>CVSEXO</t>
  </si>
  <si>
    <t>DE</t>
  </si>
  <si>
    <t>HASTA</t>
  </si>
  <si>
    <t>CANTIDAD</t>
  </si>
  <si>
    <t>M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</si>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</sst>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_-[$$-80A]* #,##0.0000_-;\-[$$-80A]* #,##0.0000_-;_-[$$-80A]* &quot;-&quot;??_-;_-@_-"/>
    <numFmt numFmtId="166" formatCode="_-[$$-80A]* #,##0.0000_-;\-[$$-80A]* #,##0.0000_-;_-[$$-80A]* &quot;-&quot;????_-;_-@_-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rgb="FF000000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</cellStyleXfs>
  <cellXfs count="30">
    <xf numFmtId="0" fontId="0" fillId="0" borderId="0" xfId="0"/>
    <xf numFmtId="0" fontId="0" fillId="0" borderId="1" xfId="0" applyBorder="1"/>
    <xf numFmtId="0" fontId="1" fillId="4" borderId="1" xfId="4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horizontal="right" vertical="center" wrapText="1"/>
    </xf>
    <xf numFmtId="0" fontId="2" fillId="0" borderId="0" xfId="0" applyFont="1" applyAlignment="1">
      <alignment horizontal="right" vertical="center" wrapText="1"/>
    </xf>
    <xf numFmtId="16" fontId="0" fillId="0" borderId="0" xfId="0" applyNumberFormat="1" applyAlignment="1">
      <alignment horizontal="left" vertical="center" wrapText="1"/>
    </xf>
    <xf numFmtId="17" fontId="0" fillId="0" borderId="0" xfId="0" applyNumberFormat="1" applyAlignment="1">
      <alignment horizontal="left" vertical="center" wrapText="1"/>
    </xf>
    <xf numFmtId="165" fontId="0" fillId="0" borderId="1" xfId="1" applyNumberFormat="1" applyFont="1" applyBorder="1" applyAlignment="1">
      <alignment horizontal="right" vertical="center" wrapText="1"/>
    </xf>
    <xf numFmtId="166" fontId="0" fillId="0" borderId="1" xfId="0" applyNumberFormat="1" applyBorder="1" applyAlignment="1">
      <alignment horizontal="center" vertical="center"/>
    </xf>
    <xf numFmtId="0" fontId="1" fillId="2" borderId="1" xfId="2" applyBorder="1" applyAlignment="1">
      <alignment horizontal="left" vertical="center" indent="1"/>
    </xf>
    <xf numFmtId="0" fontId="1" fillId="2" borderId="1" xfId="2" applyBorder="1"/>
    <xf numFmtId="0" fontId="0" fillId="0" borderId="1" xfId="0" applyBorder="1" applyAlignment="1">
      <alignment horizontal="center"/>
    </xf>
    <xf numFmtId="166" fontId="1" fillId="4" borderId="1" xfId="4" applyNumberFormat="1" applyBorder="1" applyAlignment="1">
      <alignment horizontal="center" vertical="center"/>
    </xf>
    <xf numFmtId="0" fontId="2" fillId="0" borderId="0" xfId="0" applyFont="1"/>
    <xf numFmtId="0" fontId="1" fillId="3" borderId="4" xfId="3" applyBorder="1" applyAlignment="1">
      <alignment horizontal="center"/>
    </xf>
    <xf numFmtId="0" fontId="1" fillId="3" borderId="6" xfId="3" applyBorder="1" applyAlignment="1">
      <alignment horizontal="center"/>
    </xf>
    <xf numFmtId="0" fontId="1" fillId="3" borderId="5" xfId="3" applyBorder="1" applyAlignment="1">
      <alignment horizontal="center"/>
    </xf>
    <xf numFmtId="0" fontId="1" fillId="4" borderId="1" xfId="4" applyBorder="1" applyAlignment="1">
      <alignment horizontal="center"/>
    </xf>
    <xf numFmtId="166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4" borderId="1" xfId="4" applyBorder="1" applyAlignment="1">
      <alignment horizontal="center" vertical="center"/>
    </xf>
    <xf numFmtId="0" fontId="1" fillId="4" borderId="2" xfId="4" applyBorder="1" applyAlignment="1">
      <alignment horizontal="center" vertical="center"/>
    </xf>
    <xf numFmtId="0" fontId="1" fillId="4" borderId="3" xfId="4" applyBorder="1" applyAlignment="1">
      <alignment horizontal="center" vertical="center"/>
    </xf>
    <xf numFmtId="166" fontId="1" fillId="4" borderId="4" xfId="4" applyNumberFormat="1" applyBorder="1" applyAlignment="1">
      <alignment horizontal="center" vertical="center"/>
    </xf>
    <xf numFmtId="166" fontId="1" fillId="4" borderId="5" xfId="4" applyNumberFormat="1" applyBorder="1" applyAlignment="1">
      <alignment horizontal="center" vertical="center"/>
    </xf>
    <xf numFmtId="166" fontId="0" fillId="0" borderId="4" xfId="0" applyNumberFormat="1" applyBorder="1" applyAlignment="1">
      <alignment horizontal="center" vertical="center"/>
    </xf>
    <xf numFmtId="166" fontId="0" fillId="0" borderId="5" xfId="0" applyNumberFormat="1" applyBorder="1" applyAlignment="1">
      <alignment horizontal="center" vertical="center"/>
    </xf>
  </cellXfs>
  <cellStyles count="5">
    <cellStyle name="20% - Énfasis1" xfId="2" builtinId="30"/>
    <cellStyle name="20% - Énfasis2" xfId="4" builtinId="34"/>
    <cellStyle name="60% - Énfasis1" xfId="3" builtinId="32"/>
    <cellStyle name="Millare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38100</xdr:rowOff>
        </xdr:from>
        <xdr:to>
          <xdr:col>8</xdr:col>
          <xdr:colOff>12700</xdr:colOff>
          <xdr:row>31</xdr:row>
          <xdr:rowOff>152400</xdr:rowOff>
        </xdr:to>
        <xdr:sp macro="" textlink="">
          <xdr:nvSpPr>
            <xdr:cNvPr id="1026" name="Group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Datos del cliente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749300</xdr:colOff>
          <xdr:row>3</xdr:row>
          <xdr:rowOff>12700</xdr:rowOff>
        </xdr:from>
        <xdr:to>
          <xdr:col>7</xdr:col>
          <xdr:colOff>749300</xdr:colOff>
          <xdr:row>5</xdr:row>
          <xdr:rowOff>38100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88900</xdr:rowOff>
        </xdr:from>
        <xdr:to>
          <xdr:col>6</xdr:col>
          <xdr:colOff>279400</xdr:colOff>
          <xdr:row>5</xdr:row>
          <xdr:rowOff>12700</xdr:rowOff>
        </xdr:to>
        <xdr:sp macro="" textlink="">
          <xdr:nvSpPr>
            <xdr:cNvPr id="1028" name="ComboBox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E4D27-0ECB-4D3F-B2E2-ACFF3F608942}">
  <sheetPr codeName="Hoja1"/>
  <dimension ref="B7:F19"/>
  <sheetViews>
    <sheetView workbookViewId="0">
      <selection activeCell="B13" sqref="B13"/>
    </sheetView>
  </sheetViews>
  <sheetFormatPr baseColWidth="10" defaultRowHeight="14.5" x14ac:dyDescent="0.35"/>
  <sheetData>
    <row r="7" spans="2:6" x14ac:dyDescent="0.35">
      <c r="B7" s="17" t="s">
        <v>10</v>
      </c>
      <c r="C7" s="18"/>
      <c r="D7" s="18"/>
      <c r="E7" s="18"/>
      <c r="F7" s="19"/>
    </row>
    <row r="8" spans="2:6" x14ac:dyDescent="0.35">
      <c r="B8" s="12" t="s">
        <v>0</v>
      </c>
      <c r="C8" s="13" t="s">
        <v>1</v>
      </c>
      <c r="D8" s="13"/>
      <c r="E8" s="13"/>
      <c r="F8" s="13"/>
    </row>
    <row r="9" spans="2:6" x14ac:dyDescent="0.35">
      <c r="B9" s="14">
        <v>1095</v>
      </c>
      <c r="C9" s="1" t="s">
        <v>2</v>
      </c>
      <c r="D9" s="1"/>
      <c r="E9" s="1"/>
      <c r="F9" s="1"/>
    </row>
    <row r="10" spans="2:6" x14ac:dyDescent="0.35">
      <c r="B10" s="14">
        <v>1234</v>
      </c>
      <c r="C10" s="1" t="s">
        <v>3</v>
      </c>
      <c r="D10" s="1"/>
      <c r="E10" s="1"/>
      <c r="F10" s="1"/>
    </row>
    <row r="11" spans="2:6" x14ac:dyDescent="0.35">
      <c r="B11" s="14">
        <v>1265</v>
      </c>
      <c r="C11" s="1" t="s">
        <v>4</v>
      </c>
      <c r="D11" s="1"/>
      <c r="E11" s="1"/>
      <c r="F11" s="1"/>
    </row>
    <row r="12" spans="2:6" x14ac:dyDescent="0.35">
      <c r="B12" s="14">
        <v>1320</v>
      </c>
      <c r="C12" s="1" t="s">
        <v>5</v>
      </c>
      <c r="D12" s="1"/>
      <c r="E12" s="1"/>
      <c r="F12" s="1"/>
    </row>
    <row r="13" spans="2:6" x14ac:dyDescent="0.35">
      <c r="B13" s="14">
        <v>1457</v>
      </c>
      <c r="C13" s="1" t="s">
        <v>6</v>
      </c>
      <c r="D13" s="1"/>
      <c r="E13" s="1"/>
      <c r="F13" s="1"/>
    </row>
    <row r="14" spans="2:6" x14ac:dyDescent="0.35">
      <c r="B14" s="14">
        <v>1525</v>
      </c>
      <c r="C14" s="1" t="s">
        <v>7</v>
      </c>
      <c r="D14" s="1"/>
      <c r="E14" s="1"/>
      <c r="F14" s="1"/>
    </row>
    <row r="15" spans="2:6" x14ac:dyDescent="0.35">
      <c r="B15" s="14">
        <v>1638</v>
      </c>
      <c r="C15" s="1" t="s">
        <v>7</v>
      </c>
      <c r="D15" s="1"/>
      <c r="E15" s="1"/>
      <c r="F15" s="1"/>
    </row>
    <row r="16" spans="2:6" x14ac:dyDescent="0.35">
      <c r="B16" s="14">
        <v>1756</v>
      </c>
      <c r="C16" s="1" t="s">
        <v>8</v>
      </c>
      <c r="D16" s="1"/>
      <c r="E16" s="1"/>
      <c r="F16" s="1"/>
    </row>
    <row r="17" spans="2:6" x14ac:dyDescent="0.35">
      <c r="B17" s="14">
        <v>1787</v>
      </c>
      <c r="C17" s="1" t="s">
        <v>9</v>
      </c>
      <c r="D17" s="1"/>
      <c r="E17" s="1"/>
      <c r="F17" s="1"/>
    </row>
    <row r="18" spans="2:6" x14ac:dyDescent="0.35">
      <c r="B18" s="14">
        <v>1875</v>
      </c>
      <c r="C18" s="1" t="s">
        <v>9</v>
      </c>
      <c r="D18" s="1"/>
      <c r="E18" s="1"/>
      <c r="F18" s="1"/>
    </row>
    <row r="19" spans="2:6" x14ac:dyDescent="0.35">
      <c r="B19" s="14">
        <v>1952</v>
      </c>
      <c r="C19" s="1" t="s">
        <v>9</v>
      </c>
      <c r="D19" s="1"/>
      <c r="E19" s="1"/>
      <c r="F19" s="1"/>
    </row>
  </sheetData>
  <mergeCells count="1">
    <mergeCell ref="B7:F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CF2E9-7141-4151-9B45-91447EA1465F}">
  <sheetPr codeName="Hoja2"/>
  <dimension ref="B34:AN57"/>
  <sheetViews>
    <sheetView tabSelected="1" topLeftCell="S1" zoomScale="50" zoomScaleNormal="50" workbookViewId="0">
      <selection activeCell="AH7" sqref="AH7:AN57"/>
    </sheetView>
  </sheetViews>
  <sheetFormatPr baseColWidth="10" defaultRowHeight="14.5" x14ac:dyDescent="0.35"/>
  <sheetData>
    <row r="34" spans="2:40" x14ac:dyDescent="0.35">
      <c r="B34" s="23" t="s">
        <v>11</v>
      </c>
      <c r="C34" s="23"/>
      <c r="D34" s="23"/>
      <c r="E34" s="23"/>
      <c r="F34" s="23"/>
      <c r="G34" s="23"/>
      <c r="H34" s="23"/>
      <c r="J34" s="23" t="s">
        <v>11</v>
      </c>
      <c r="K34" s="23"/>
      <c r="L34" s="23"/>
      <c r="M34" s="23"/>
      <c r="N34" s="23"/>
      <c r="O34" s="23"/>
      <c r="P34" s="23"/>
      <c r="R34" s="23" t="s">
        <v>11</v>
      </c>
      <c r="S34" s="23"/>
      <c r="T34" s="23"/>
      <c r="U34" s="23"/>
      <c r="V34" s="23"/>
      <c r="W34" s="23"/>
      <c r="X34" s="23"/>
      <c r="Z34" s="23" t="s">
        <v>11</v>
      </c>
      <c r="AA34" s="23"/>
      <c r="AB34" s="23"/>
      <c r="AC34" s="23"/>
      <c r="AD34" s="23"/>
      <c r="AE34" s="23"/>
      <c r="AF34" s="23"/>
      <c r="AH34" s="23" t="s">
        <v>11</v>
      </c>
      <c r="AI34" s="23"/>
      <c r="AJ34" s="23"/>
      <c r="AK34" s="23"/>
      <c r="AL34" s="23"/>
      <c r="AM34" s="23"/>
      <c r="AN34" s="23"/>
    </row>
    <row r="35" spans="2:40" x14ac:dyDescent="0.35">
      <c r="B35" s="24" t="s">
        <v>12</v>
      </c>
      <c r="C35" s="23" t="s">
        <v>30</v>
      </c>
      <c r="D35" s="23"/>
      <c r="E35" s="23" t="s">
        <v>29</v>
      </c>
      <c r="F35" s="23"/>
      <c r="G35" s="23" t="s">
        <v>31</v>
      </c>
      <c r="H35" s="23"/>
      <c r="J35" s="24" t="s">
        <v>12</v>
      </c>
      <c r="K35" s="23" t="s">
        <v>30</v>
      </c>
      <c r="L35" s="23"/>
      <c r="M35" s="23" t="s">
        <v>29</v>
      </c>
      <c r="N35" s="23"/>
      <c r="O35" s="23" t="s">
        <v>31</v>
      </c>
      <c r="P35" s="23"/>
      <c r="R35" s="24" t="s">
        <v>12</v>
      </c>
      <c r="S35" s="23" t="s">
        <v>30</v>
      </c>
      <c r="T35" s="23"/>
      <c r="U35" s="23" t="s">
        <v>29</v>
      </c>
      <c r="V35" s="23"/>
      <c r="W35" s="23" t="s">
        <v>31</v>
      </c>
      <c r="X35" s="23"/>
      <c r="Z35" s="24" t="s">
        <v>12</v>
      </c>
      <c r="AA35" s="23" t="s">
        <v>30</v>
      </c>
      <c r="AB35" s="23"/>
      <c r="AC35" s="23" t="s">
        <v>29</v>
      </c>
      <c r="AD35" s="23"/>
      <c r="AE35" s="23" t="s">
        <v>31</v>
      </c>
      <c r="AF35" s="23"/>
      <c r="AH35" s="24" t="s">
        <v>12</v>
      </c>
      <c r="AI35" s="23" t="s">
        <v>30</v>
      </c>
      <c r="AJ35" s="23"/>
      <c r="AK35" s="23" t="s">
        <v>29</v>
      </c>
      <c r="AL35" s="23"/>
      <c r="AM35" s="23" t="s">
        <v>31</v>
      </c>
      <c r="AN35" s="23"/>
    </row>
    <row r="36" spans="2:40" x14ac:dyDescent="0.35">
      <c r="B36" s="25"/>
      <c r="C36" s="2" t="s">
        <v>27</v>
      </c>
      <c r="D36" s="2" t="s">
        <v>28</v>
      </c>
      <c r="E36" s="2" t="s">
        <v>27</v>
      </c>
      <c r="F36" s="2" t="s">
        <v>28</v>
      </c>
      <c r="G36" s="2" t="s">
        <v>27</v>
      </c>
      <c r="H36" s="2" t="s">
        <v>28</v>
      </c>
      <c r="J36" s="25"/>
      <c r="K36" s="2" t="s">
        <v>27</v>
      </c>
      <c r="L36" s="2" t="s">
        <v>28</v>
      </c>
      <c r="M36" s="2" t="s">
        <v>27</v>
      </c>
      <c r="N36" s="2" t="s">
        <v>28</v>
      </c>
      <c r="O36" s="2" t="s">
        <v>27</v>
      </c>
      <c r="P36" s="2" t="s">
        <v>28</v>
      </c>
      <c r="R36" s="25"/>
      <c r="S36" s="2" t="s">
        <v>27</v>
      </c>
      <c r="T36" s="2" t="s">
        <v>28</v>
      </c>
      <c r="U36" s="2" t="s">
        <v>27</v>
      </c>
      <c r="V36" s="2" t="s">
        <v>28</v>
      </c>
      <c r="W36" s="2" t="s">
        <v>27</v>
      </c>
      <c r="X36" s="2" t="s">
        <v>28</v>
      </c>
      <c r="Z36" s="25"/>
      <c r="AA36" s="2" t="s">
        <v>27</v>
      </c>
      <c r="AB36" s="2" t="s">
        <v>28</v>
      </c>
      <c r="AC36" s="2" t="s">
        <v>27</v>
      </c>
      <c r="AD36" s="2" t="s">
        <v>28</v>
      </c>
      <c r="AE36" s="2" t="s">
        <v>27</v>
      </c>
      <c r="AF36" s="2" t="s">
        <v>28</v>
      </c>
      <c r="AH36" s="25"/>
      <c r="AI36" s="2" t="s">
        <v>27</v>
      </c>
      <c r="AJ36" s="2" t="s">
        <v>28</v>
      </c>
      <c r="AK36" s="2" t="s">
        <v>27</v>
      </c>
      <c r="AL36" s="2" t="s">
        <v>28</v>
      </c>
      <c r="AM36" s="2" t="s">
        <v>27</v>
      </c>
      <c r="AN36" s="2" t="s">
        <v>28</v>
      </c>
    </row>
    <row r="37" spans="2:40" x14ac:dyDescent="0.35">
      <c r="B37" s="3" t="s">
        <v>13</v>
      </c>
      <c r="C37" s="10">
        <v>1.2</v>
      </c>
      <c r="D37" s="10">
        <v>1.1000000000000001</v>
      </c>
      <c r="E37" s="2"/>
      <c r="F37" s="2"/>
      <c r="G37" s="11">
        <f xml:space="preserve"> C37 * E37</f>
        <v>0</v>
      </c>
      <c r="H37" s="11">
        <f xml:space="preserve"> D37 * F37</f>
        <v>0</v>
      </c>
      <c r="J37" s="3" t="s">
        <v>13</v>
      </c>
      <c r="K37" s="10">
        <v>1.2</v>
      </c>
      <c r="L37" s="10">
        <v>1.1000000000000001</v>
      </c>
      <c r="M37" s="2"/>
      <c r="N37" s="2"/>
      <c r="O37" s="11">
        <f xml:space="preserve"> K37 * M37</f>
        <v>0</v>
      </c>
      <c r="P37" s="11">
        <f xml:space="preserve"> L37 * N37</f>
        <v>0</v>
      </c>
      <c r="R37" s="3" t="s">
        <v>13</v>
      </c>
      <c r="S37" s="10">
        <v>1.2</v>
      </c>
      <c r="T37" s="10">
        <v>1.1000000000000001</v>
      </c>
      <c r="U37" s="2"/>
      <c r="V37" s="2"/>
      <c r="W37" s="11">
        <f xml:space="preserve"> S37 * U37</f>
        <v>0</v>
      </c>
      <c r="X37" s="11">
        <f xml:space="preserve"> T37 * V37</f>
        <v>0</v>
      </c>
      <c r="Z37" s="3" t="s">
        <v>13</v>
      </c>
      <c r="AA37" s="10">
        <v>1.2</v>
      </c>
      <c r="AB37" s="10">
        <v>1.1000000000000001</v>
      </c>
      <c r="AC37" s="2"/>
      <c r="AD37" s="2"/>
      <c r="AE37" s="11">
        <f xml:space="preserve"> AA37 * AC37</f>
        <v>0</v>
      </c>
      <c r="AF37" s="11">
        <f xml:space="preserve"> AB37 * AD37</f>
        <v>0</v>
      </c>
      <c r="AH37" s="3" t="s">
        <v>13</v>
      </c>
      <c r="AI37" s="10">
        <v>1.2</v>
      </c>
      <c r="AJ37" s="10">
        <v>1.1000000000000001</v>
      </c>
      <c r="AK37" s="2"/>
      <c r="AL37" s="2"/>
      <c r="AM37" s="11">
        <f xml:space="preserve"> AI37 * AK37</f>
        <v>0</v>
      </c>
      <c r="AN37" s="11">
        <f xml:space="preserve"> AJ37 * AL37</f>
        <v>0</v>
      </c>
    </row>
    <row r="38" spans="2:40" x14ac:dyDescent="0.35">
      <c r="B38" s="3" t="s">
        <v>14</v>
      </c>
      <c r="C38" s="10">
        <v>1.3</v>
      </c>
      <c r="D38" s="10">
        <v>1.2</v>
      </c>
      <c r="E38" s="2"/>
      <c r="F38" s="2"/>
      <c r="G38" s="11">
        <f t="shared" ref="G38:G50" si="0" xml:space="preserve"> C38 * E38</f>
        <v>0</v>
      </c>
      <c r="H38" s="11">
        <f t="shared" ref="H38:H50" si="1" xml:space="preserve"> D38 * F38</f>
        <v>0</v>
      </c>
      <c r="J38" s="3" t="s">
        <v>14</v>
      </c>
      <c r="K38" s="10">
        <v>1.3</v>
      </c>
      <c r="L38" s="10">
        <v>1.2</v>
      </c>
      <c r="M38" s="2"/>
      <c r="N38" s="2"/>
      <c r="O38" s="11">
        <f t="shared" ref="O38:O50" si="2" xml:space="preserve"> K38 * M38</f>
        <v>0</v>
      </c>
      <c r="P38" s="11">
        <f t="shared" ref="P38:P50" si="3" xml:space="preserve"> L38 * N38</f>
        <v>0</v>
      </c>
      <c r="R38" s="3" t="s">
        <v>14</v>
      </c>
      <c r="S38" s="10">
        <v>1.3</v>
      </c>
      <c r="T38" s="10">
        <v>1.2</v>
      </c>
      <c r="U38" s="2"/>
      <c r="V38" s="2"/>
      <c r="W38" s="11">
        <f t="shared" ref="W38:W50" si="4" xml:space="preserve"> S38 * U38</f>
        <v>0</v>
      </c>
      <c r="X38" s="11">
        <f t="shared" ref="X38:X50" si="5" xml:space="preserve"> T38 * V38</f>
        <v>0</v>
      </c>
      <c r="Z38" s="3" t="s">
        <v>14</v>
      </c>
      <c r="AA38" s="10">
        <v>1.3</v>
      </c>
      <c r="AB38" s="10">
        <v>1.2</v>
      </c>
      <c r="AC38" s="2"/>
      <c r="AD38" s="2"/>
      <c r="AE38" s="11">
        <f t="shared" ref="AE38:AE50" si="6" xml:space="preserve"> AA38 * AC38</f>
        <v>0</v>
      </c>
      <c r="AF38" s="11">
        <f t="shared" ref="AF38:AF50" si="7" xml:space="preserve"> AB38 * AD38</f>
        <v>0</v>
      </c>
      <c r="AH38" s="3" t="s">
        <v>14</v>
      </c>
      <c r="AI38" s="10">
        <v>1.3</v>
      </c>
      <c r="AJ38" s="10">
        <v>1.2</v>
      </c>
      <c r="AK38" s="2"/>
      <c r="AL38" s="2"/>
      <c r="AM38" s="11">
        <f t="shared" ref="AM38:AM50" si="8" xml:space="preserve"> AI38 * AK38</f>
        <v>0</v>
      </c>
      <c r="AN38" s="11">
        <f t="shared" ref="AN38:AN50" si="9" xml:space="preserve"> AJ38 * AL38</f>
        <v>0</v>
      </c>
    </row>
    <row r="39" spans="2:40" x14ac:dyDescent="0.35">
      <c r="B39" s="3" t="s">
        <v>15</v>
      </c>
      <c r="C39" s="10">
        <v>1.5</v>
      </c>
      <c r="D39" s="10">
        <v>1.4</v>
      </c>
      <c r="E39" s="2"/>
      <c r="F39" s="2"/>
      <c r="G39" s="11">
        <f t="shared" si="0"/>
        <v>0</v>
      </c>
      <c r="H39" s="11">
        <f t="shared" si="1"/>
        <v>0</v>
      </c>
      <c r="J39" s="3" t="s">
        <v>15</v>
      </c>
      <c r="K39" s="10">
        <v>1.5</v>
      </c>
      <c r="L39" s="10">
        <v>1.4</v>
      </c>
      <c r="M39" s="2"/>
      <c r="N39" s="2"/>
      <c r="O39" s="11">
        <f t="shared" si="2"/>
        <v>0</v>
      </c>
      <c r="P39" s="11">
        <f t="shared" si="3"/>
        <v>0</v>
      </c>
      <c r="R39" s="3" t="s">
        <v>15</v>
      </c>
      <c r="S39" s="10">
        <v>1.5</v>
      </c>
      <c r="T39" s="10">
        <v>1.4</v>
      </c>
      <c r="U39" s="2"/>
      <c r="V39" s="2"/>
      <c r="W39" s="11">
        <f t="shared" si="4"/>
        <v>0</v>
      </c>
      <c r="X39" s="11">
        <f t="shared" si="5"/>
        <v>0</v>
      </c>
      <c r="Z39" s="3" t="s">
        <v>15</v>
      </c>
      <c r="AA39" s="10">
        <v>1.5</v>
      </c>
      <c r="AB39" s="10">
        <v>1.4</v>
      </c>
      <c r="AC39" s="2"/>
      <c r="AD39" s="2"/>
      <c r="AE39" s="11">
        <f t="shared" si="6"/>
        <v>0</v>
      </c>
      <c r="AF39" s="11">
        <f t="shared" si="7"/>
        <v>0</v>
      </c>
      <c r="AH39" s="3" t="s">
        <v>15</v>
      </c>
      <c r="AI39" s="10">
        <v>1.5</v>
      </c>
      <c r="AJ39" s="10">
        <v>1.4</v>
      </c>
      <c r="AK39" s="2"/>
      <c r="AL39" s="2"/>
      <c r="AM39" s="11">
        <f t="shared" si="8"/>
        <v>0</v>
      </c>
      <c r="AN39" s="11">
        <f t="shared" si="9"/>
        <v>0</v>
      </c>
    </row>
    <row r="40" spans="2:40" x14ac:dyDescent="0.35">
      <c r="B40" s="3" t="s">
        <v>16</v>
      </c>
      <c r="C40" s="10">
        <v>1.7</v>
      </c>
      <c r="D40" s="10">
        <v>1.6</v>
      </c>
      <c r="E40" s="2"/>
      <c r="F40" s="2"/>
      <c r="G40" s="11">
        <f t="shared" si="0"/>
        <v>0</v>
      </c>
      <c r="H40" s="11">
        <f t="shared" si="1"/>
        <v>0</v>
      </c>
      <c r="J40" s="3" t="s">
        <v>16</v>
      </c>
      <c r="K40" s="10">
        <v>1.7</v>
      </c>
      <c r="L40" s="10">
        <v>1.6</v>
      </c>
      <c r="M40" s="2"/>
      <c r="N40" s="2"/>
      <c r="O40" s="11">
        <f t="shared" si="2"/>
        <v>0</v>
      </c>
      <c r="P40" s="11">
        <f t="shared" si="3"/>
        <v>0</v>
      </c>
      <c r="R40" s="3" t="s">
        <v>16</v>
      </c>
      <c r="S40" s="10">
        <v>1.7</v>
      </c>
      <c r="T40" s="10">
        <v>1.6</v>
      </c>
      <c r="U40" s="2"/>
      <c r="V40" s="2"/>
      <c r="W40" s="11">
        <f t="shared" si="4"/>
        <v>0</v>
      </c>
      <c r="X40" s="11">
        <f t="shared" si="5"/>
        <v>0</v>
      </c>
      <c r="Z40" s="3" t="s">
        <v>16</v>
      </c>
      <c r="AA40" s="10">
        <v>1.7</v>
      </c>
      <c r="AB40" s="10">
        <v>1.6</v>
      </c>
      <c r="AC40" s="2"/>
      <c r="AD40" s="2"/>
      <c r="AE40" s="11">
        <f t="shared" si="6"/>
        <v>0</v>
      </c>
      <c r="AF40" s="11">
        <f t="shared" si="7"/>
        <v>0</v>
      </c>
      <c r="AH40" s="3" t="s">
        <v>16</v>
      </c>
      <c r="AI40" s="10">
        <v>1.7</v>
      </c>
      <c r="AJ40" s="10">
        <v>1.6</v>
      </c>
      <c r="AK40" s="2"/>
      <c r="AL40" s="2"/>
      <c r="AM40" s="11">
        <f t="shared" si="8"/>
        <v>0</v>
      </c>
      <c r="AN40" s="11">
        <f t="shared" si="9"/>
        <v>0</v>
      </c>
    </row>
    <row r="41" spans="2:40" x14ac:dyDescent="0.35">
      <c r="B41" s="3" t="s">
        <v>17</v>
      </c>
      <c r="C41" s="10">
        <v>1.9</v>
      </c>
      <c r="D41" s="10">
        <v>1.8</v>
      </c>
      <c r="E41" s="2"/>
      <c r="F41" s="2"/>
      <c r="G41" s="11">
        <f t="shared" si="0"/>
        <v>0</v>
      </c>
      <c r="H41" s="11">
        <f t="shared" si="1"/>
        <v>0</v>
      </c>
      <c r="J41" s="3" t="s">
        <v>17</v>
      </c>
      <c r="K41" s="10">
        <v>1.9</v>
      </c>
      <c r="L41" s="10">
        <v>1.8</v>
      </c>
      <c r="M41" s="2"/>
      <c r="N41" s="2"/>
      <c r="O41" s="11">
        <f t="shared" si="2"/>
        <v>0</v>
      </c>
      <c r="P41" s="11">
        <f t="shared" si="3"/>
        <v>0</v>
      </c>
      <c r="R41" s="3" t="s">
        <v>17</v>
      </c>
      <c r="S41" s="10">
        <v>1.9</v>
      </c>
      <c r="T41" s="10">
        <v>1.8</v>
      </c>
      <c r="U41" s="2"/>
      <c r="V41" s="2"/>
      <c r="W41" s="11">
        <f t="shared" si="4"/>
        <v>0</v>
      </c>
      <c r="X41" s="11">
        <f t="shared" si="5"/>
        <v>0</v>
      </c>
      <c r="Z41" s="3" t="s">
        <v>17</v>
      </c>
      <c r="AA41" s="10">
        <v>1.9</v>
      </c>
      <c r="AB41" s="10">
        <v>1.8</v>
      </c>
      <c r="AC41" s="2"/>
      <c r="AD41" s="2"/>
      <c r="AE41" s="11">
        <f t="shared" si="6"/>
        <v>0</v>
      </c>
      <c r="AF41" s="11">
        <f t="shared" si="7"/>
        <v>0</v>
      </c>
      <c r="AH41" s="3" t="s">
        <v>17</v>
      </c>
      <c r="AI41" s="10">
        <v>1.9</v>
      </c>
      <c r="AJ41" s="10">
        <v>1.8</v>
      </c>
      <c r="AK41" s="2"/>
      <c r="AL41" s="2"/>
      <c r="AM41" s="11">
        <f t="shared" si="8"/>
        <v>0</v>
      </c>
      <c r="AN41" s="11">
        <f t="shared" si="9"/>
        <v>0</v>
      </c>
    </row>
    <row r="42" spans="2:40" x14ac:dyDescent="0.35">
      <c r="B42" s="3" t="s">
        <v>18</v>
      </c>
      <c r="C42" s="10">
        <v>2.2000000000000002</v>
      </c>
      <c r="D42" s="10">
        <v>2</v>
      </c>
      <c r="E42" s="2"/>
      <c r="F42" s="2"/>
      <c r="G42" s="11">
        <f t="shared" si="0"/>
        <v>0</v>
      </c>
      <c r="H42" s="11">
        <f t="shared" si="1"/>
        <v>0</v>
      </c>
      <c r="J42" s="3" t="s">
        <v>18</v>
      </c>
      <c r="K42" s="10">
        <v>2.2000000000000002</v>
      </c>
      <c r="L42" s="10">
        <v>2</v>
      </c>
      <c r="M42" s="2"/>
      <c r="N42" s="2"/>
      <c r="O42" s="11">
        <f t="shared" si="2"/>
        <v>0</v>
      </c>
      <c r="P42" s="11">
        <f t="shared" si="3"/>
        <v>0</v>
      </c>
      <c r="R42" s="3" t="s">
        <v>18</v>
      </c>
      <c r="S42" s="10">
        <v>2.2000000000000002</v>
      </c>
      <c r="T42" s="10">
        <v>2</v>
      </c>
      <c r="U42" s="2"/>
      <c r="V42" s="2"/>
      <c r="W42" s="11">
        <f t="shared" si="4"/>
        <v>0</v>
      </c>
      <c r="X42" s="11">
        <f t="shared" si="5"/>
        <v>0</v>
      </c>
      <c r="Z42" s="3" t="s">
        <v>18</v>
      </c>
      <c r="AA42" s="10">
        <v>2.2000000000000002</v>
      </c>
      <c r="AB42" s="10">
        <v>2</v>
      </c>
      <c r="AC42" s="2"/>
      <c r="AD42" s="2"/>
      <c r="AE42" s="11">
        <f t="shared" si="6"/>
        <v>0</v>
      </c>
      <c r="AF42" s="11">
        <f t="shared" si="7"/>
        <v>0</v>
      </c>
      <c r="AH42" s="3" t="s">
        <v>18</v>
      </c>
      <c r="AI42" s="10">
        <v>2.2000000000000002</v>
      </c>
      <c r="AJ42" s="10">
        <v>2</v>
      </c>
      <c r="AK42" s="2"/>
      <c r="AL42" s="2"/>
      <c r="AM42" s="11">
        <f t="shared" si="8"/>
        <v>0</v>
      </c>
      <c r="AN42" s="11">
        <f t="shared" si="9"/>
        <v>0</v>
      </c>
    </row>
    <row r="43" spans="2:40" x14ac:dyDescent="0.35">
      <c r="B43" s="3" t="s">
        <v>19</v>
      </c>
      <c r="C43" s="10">
        <v>2.6</v>
      </c>
      <c r="D43" s="10">
        <v>2.4</v>
      </c>
      <c r="E43" s="2"/>
      <c r="F43" s="2"/>
      <c r="G43" s="11">
        <f t="shared" si="0"/>
        <v>0</v>
      </c>
      <c r="H43" s="11">
        <f t="shared" si="1"/>
        <v>0</v>
      </c>
      <c r="J43" s="3" t="s">
        <v>19</v>
      </c>
      <c r="K43" s="10">
        <v>2.6</v>
      </c>
      <c r="L43" s="10">
        <v>2.4</v>
      </c>
      <c r="M43" s="2"/>
      <c r="N43" s="2"/>
      <c r="O43" s="11">
        <f t="shared" si="2"/>
        <v>0</v>
      </c>
      <c r="P43" s="11">
        <f t="shared" si="3"/>
        <v>0</v>
      </c>
      <c r="R43" s="3" t="s">
        <v>19</v>
      </c>
      <c r="S43" s="10">
        <v>2.6</v>
      </c>
      <c r="T43" s="10">
        <v>2.4</v>
      </c>
      <c r="U43" s="2"/>
      <c r="V43" s="2"/>
      <c r="W43" s="11">
        <f t="shared" si="4"/>
        <v>0</v>
      </c>
      <c r="X43" s="11">
        <f t="shared" si="5"/>
        <v>0</v>
      </c>
      <c r="Z43" s="3" t="s">
        <v>19</v>
      </c>
      <c r="AA43" s="10">
        <v>2.6</v>
      </c>
      <c r="AB43" s="10">
        <v>2.4</v>
      </c>
      <c r="AC43" s="2"/>
      <c r="AD43" s="2"/>
      <c r="AE43" s="11">
        <f t="shared" si="6"/>
        <v>0</v>
      </c>
      <c r="AF43" s="11">
        <f t="shared" si="7"/>
        <v>0</v>
      </c>
      <c r="AH43" s="3" t="s">
        <v>19</v>
      </c>
      <c r="AI43" s="10">
        <v>2.6</v>
      </c>
      <c r="AJ43" s="10">
        <v>2.4</v>
      </c>
      <c r="AK43" s="2"/>
      <c r="AL43" s="2"/>
      <c r="AM43" s="11">
        <f t="shared" si="8"/>
        <v>0</v>
      </c>
      <c r="AN43" s="11">
        <f t="shared" si="9"/>
        <v>0</v>
      </c>
    </row>
    <row r="44" spans="2:40" x14ac:dyDescent="0.35">
      <c r="B44" s="3" t="s">
        <v>20</v>
      </c>
      <c r="C44" s="10">
        <v>3</v>
      </c>
      <c r="D44" s="10">
        <v>2.8</v>
      </c>
      <c r="E44" s="2"/>
      <c r="F44" s="2"/>
      <c r="G44" s="11">
        <f t="shared" si="0"/>
        <v>0</v>
      </c>
      <c r="H44" s="11">
        <f t="shared" si="1"/>
        <v>0</v>
      </c>
      <c r="J44" s="3" t="s">
        <v>20</v>
      </c>
      <c r="K44" s="10">
        <v>3</v>
      </c>
      <c r="L44" s="10">
        <v>2.8</v>
      </c>
      <c r="M44" s="2"/>
      <c r="N44" s="2"/>
      <c r="O44" s="11">
        <f t="shared" si="2"/>
        <v>0</v>
      </c>
      <c r="P44" s="11">
        <f t="shared" si="3"/>
        <v>0</v>
      </c>
      <c r="R44" s="3" t="s">
        <v>20</v>
      </c>
      <c r="S44" s="10">
        <v>3</v>
      </c>
      <c r="T44" s="10">
        <v>2.8</v>
      </c>
      <c r="U44" s="2"/>
      <c r="V44" s="2"/>
      <c r="W44" s="11">
        <f t="shared" si="4"/>
        <v>0</v>
      </c>
      <c r="X44" s="11">
        <f t="shared" si="5"/>
        <v>0</v>
      </c>
      <c r="Z44" s="3" t="s">
        <v>20</v>
      </c>
      <c r="AA44" s="10">
        <v>3</v>
      </c>
      <c r="AB44" s="10">
        <v>2.8</v>
      </c>
      <c r="AC44" s="2"/>
      <c r="AD44" s="2"/>
      <c r="AE44" s="11">
        <f t="shared" si="6"/>
        <v>0</v>
      </c>
      <c r="AF44" s="11">
        <f t="shared" si="7"/>
        <v>0</v>
      </c>
      <c r="AH44" s="3" t="s">
        <v>20</v>
      </c>
      <c r="AI44" s="10">
        <v>3</v>
      </c>
      <c r="AJ44" s="10">
        <v>2.8</v>
      </c>
      <c r="AK44" s="2"/>
      <c r="AL44" s="2"/>
      <c r="AM44" s="11">
        <f t="shared" si="8"/>
        <v>0</v>
      </c>
      <c r="AN44" s="11">
        <f t="shared" si="9"/>
        <v>0</v>
      </c>
    </row>
    <row r="45" spans="2:40" x14ac:dyDescent="0.35">
      <c r="B45" s="3" t="s">
        <v>21</v>
      </c>
      <c r="C45" s="10">
        <v>3.5</v>
      </c>
      <c r="D45" s="10">
        <v>3.3</v>
      </c>
      <c r="E45" s="2"/>
      <c r="F45" s="2"/>
      <c r="G45" s="11">
        <f t="shared" si="0"/>
        <v>0</v>
      </c>
      <c r="H45" s="11">
        <f t="shared" si="1"/>
        <v>0</v>
      </c>
      <c r="J45" s="3" t="s">
        <v>21</v>
      </c>
      <c r="K45" s="10">
        <v>3.5</v>
      </c>
      <c r="L45" s="10">
        <v>3.3</v>
      </c>
      <c r="M45" s="2"/>
      <c r="N45" s="2"/>
      <c r="O45" s="11">
        <f t="shared" si="2"/>
        <v>0</v>
      </c>
      <c r="P45" s="11">
        <f t="shared" si="3"/>
        <v>0</v>
      </c>
      <c r="R45" s="3" t="s">
        <v>21</v>
      </c>
      <c r="S45" s="10">
        <v>3.5</v>
      </c>
      <c r="T45" s="10">
        <v>3.3</v>
      </c>
      <c r="U45" s="2"/>
      <c r="V45" s="2"/>
      <c r="W45" s="11">
        <f t="shared" si="4"/>
        <v>0</v>
      </c>
      <c r="X45" s="11">
        <f t="shared" si="5"/>
        <v>0</v>
      </c>
      <c r="Z45" s="3" t="s">
        <v>21</v>
      </c>
      <c r="AA45" s="10">
        <v>3.5</v>
      </c>
      <c r="AB45" s="10">
        <v>3.3</v>
      </c>
      <c r="AC45" s="2"/>
      <c r="AD45" s="2"/>
      <c r="AE45" s="11">
        <f t="shared" si="6"/>
        <v>0</v>
      </c>
      <c r="AF45" s="11">
        <f t="shared" si="7"/>
        <v>0</v>
      </c>
      <c r="AH45" s="3" t="s">
        <v>21</v>
      </c>
      <c r="AI45" s="10">
        <v>3.5</v>
      </c>
      <c r="AJ45" s="10">
        <v>3.3</v>
      </c>
      <c r="AK45" s="2"/>
      <c r="AL45" s="2"/>
      <c r="AM45" s="11">
        <f t="shared" si="8"/>
        <v>0</v>
      </c>
      <c r="AN45" s="11">
        <f t="shared" si="9"/>
        <v>0</v>
      </c>
    </row>
    <row r="46" spans="2:40" x14ac:dyDescent="0.35">
      <c r="B46" s="3" t="s">
        <v>22</v>
      </c>
      <c r="C46" s="10">
        <v>4.2</v>
      </c>
      <c r="D46" s="10">
        <v>3.9</v>
      </c>
      <c r="E46" s="2"/>
      <c r="F46" s="2"/>
      <c r="G46" s="11">
        <f t="shared" si="0"/>
        <v>0</v>
      </c>
      <c r="H46" s="11">
        <f t="shared" si="1"/>
        <v>0</v>
      </c>
      <c r="J46" s="3" t="s">
        <v>22</v>
      </c>
      <c r="K46" s="10">
        <v>4.2</v>
      </c>
      <c r="L46" s="10">
        <v>3.9</v>
      </c>
      <c r="M46" s="2"/>
      <c r="N46" s="2"/>
      <c r="O46" s="11">
        <f t="shared" si="2"/>
        <v>0</v>
      </c>
      <c r="P46" s="11">
        <f t="shared" si="3"/>
        <v>0</v>
      </c>
      <c r="R46" s="3" t="s">
        <v>22</v>
      </c>
      <c r="S46" s="10">
        <v>4.2</v>
      </c>
      <c r="T46" s="10">
        <v>3.9</v>
      </c>
      <c r="U46" s="2"/>
      <c r="V46" s="2"/>
      <c r="W46" s="11">
        <f t="shared" si="4"/>
        <v>0</v>
      </c>
      <c r="X46" s="11">
        <f t="shared" si="5"/>
        <v>0</v>
      </c>
      <c r="Z46" s="3" t="s">
        <v>22</v>
      </c>
      <c r="AA46" s="10">
        <v>4.2</v>
      </c>
      <c r="AB46" s="10">
        <v>3.9</v>
      </c>
      <c r="AC46" s="2"/>
      <c r="AD46" s="2"/>
      <c r="AE46" s="11">
        <f t="shared" si="6"/>
        <v>0</v>
      </c>
      <c r="AF46" s="11">
        <f t="shared" si="7"/>
        <v>0</v>
      </c>
      <c r="AH46" s="3" t="s">
        <v>22</v>
      </c>
      <c r="AI46" s="10">
        <v>4.2</v>
      </c>
      <c r="AJ46" s="10">
        <v>3.9</v>
      </c>
      <c r="AK46" s="2"/>
      <c r="AL46" s="2"/>
      <c r="AM46" s="11">
        <f t="shared" si="8"/>
        <v>0</v>
      </c>
      <c r="AN46" s="11">
        <f t="shared" si="9"/>
        <v>0</v>
      </c>
    </row>
    <row r="47" spans="2:40" x14ac:dyDescent="0.35">
      <c r="B47" s="3" t="s">
        <v>23</v>
      </c>
      <c r="C47" s="10">
        <v>5</v>
      </c>
      <c r="D47" s="10">
        <v>4.7</v>
      </c>
      <c r="E47" s="2"/>
      <c r="F47" s="2"/>
      <c r="G47" s="11">
        <f t="shared" si="0"/>
        <v>0</v>
      </c>
      <c r="H47" s="11">
        <f t="shared" si="1"/>
        <v>0</v>
      </c>
      <c r="J47" s="3" t="s">
        <v>23</v>
      </c>
      <c r="K47" s="10">
        <v>5</v>
      </c>
      <c r="L47" s="10">
        <v>4.7</v>
      </c>
      <c r="M47" s="2"/>
      <c r="N47" s="2"/>
      <c r="O47" s="11">
        <f t="shared" si="2"/>
        <v>0</v>
      </c>
      <c r="P47" s="11">
        <f t="shared" si="3"/>
        <v>0</v>
      </c>
      <c r="R47" s="3" t="s">
        <v>23</v>
      </c>
      <c r="S47" s="10">
        <v>5</v>
      </c>
      <c r="T47" s="10">
        <v>4.7</v>
      </c>
      <c r="U47" s="2"/>
      <c r="V47" s="2"/>
      <c r="W47" s="11">
        <f t="shared" si="4"/>
        <v>0</v>
      </c>
      <c r="X47" s="11">
        <f t="shared" si="5"/>
        <v>0</v>
      </c>
      <c r="Z47" s="3" t="s">
        <v>23</v>
      </c>
      <c r="AA47" s="10">
        <v>5</v>
      </c>
      <c r="AB47" s="10">
        <v>4.7</v>
      </c>
      <c r="AC47" s="2"/>
      <c r="AD47" s="2"/>
      <c r="AE47" s="11">
        <f t="shared" si="6"/>
        <v>0</v>
      </c>
      <c r="AF47" s="11">
        <f t="shared" si="7"/>
        <v>0</v>
      </c>
      <c r="AH47" s="3" t="s">
        <v>23</v>
      </c>
      <c r="AI47" s="10">
        <v>5</v>
      </c>
      <c r="AJ47" s="10">
        <v>4.7</v>
      </c>
      <c r="AK47" s="2"/>
      <c r="AL47" s="2"/>
      <c r="AM47" s="11">
        <f t="shared" si="8"/>
        <v>0</v>
      </c>
      <c r="AN47" s="11">
        <f t="shared" si="9"/>
        <v>0</v>
      </c>
    </row>
    <row r="48" spans="2:40" x14ac:dyDescent="0.35">
      <c r="B48" s="3" t="s">
        <v>24</v>
      </c>
      <c r="C48" s="10">
        <v>5.8</v>
      </c>
      <c r="D48" s="10">
        <v>5.5</v>
      </c>
      <c r="E48" s="2"/>
      <c r="F48" s="2"/>
      <c r="G48" s="11">
        <f t="shared" si="0"/>
        <v>0</v>
      </c>
      <c r="H48" s="11">
        <f t="shared" si="1"/>
        <v>0</v>
      </c>
      <c r="J48" s="3" t="s">
        <v>24</v>
      </c>
      <c r="K48" s="10">
        <v>5.8</v>
      </c>
      <c r="L48" s="10">
        <v>5.5</v>
      </c>
      <c r="M48" s="2"/>
      <c r="N48" s="2"/>
      <c r="O48" s="11">
        <f t="shared" si="2"/>
        <v>0</v>
      </c>
      <c r="P48" s="11">
        <f t="shared" si="3"/>
        <v>0</v>
      </c>
      <c r="R48" s="3" t="s">
        <v>24</v>
      </c>
      <c r="S48" s="10">
        <v>5.8</v>
      </c>
      <c r="T48" s="10">
        <v>5.5</v>
      </c>
      <c r="U48" s="2"/>
      <c r="V48" s="2"/>
      <c r="W48" s="11">
        <f t="shared" si="4"/>
        <v>0</v>
      </c>
      <c r="X48" s="11">
        <f t="shared" si="5"/>
        <v>0</v>
      </c>
      <c r="Z48" s="3" t="s">
        <v>24</v>
      </c>
      <c r="AA48" s="10">
        <v>5.8</v>
      </c>
      <c r="AB48" s="10">
        <v>5.5</v>
      </c>
      <c r="AC48" s="2"/>
      <c r="AD48" s="2"/>
      <c r="AE48" s="11">
        <f t="shared" si="6"/>
        <v>0</v>
      </c>
      <c r="AF48" s="11">
        <f t="shared" si="7"/>
        <v>0</v>
      </c>
      <c r="AH48" s="3" t="s">
        <v>24</v>
      </c>
      <c r="AI48" s="10">
        <v>5.8</v>
      </c>
      <c r="AJ48" s="10">
        <v>5.5</v>
      </c>
      <c r="AK48" s="2"/>
      <c r="AL48" s="2"/>
      <c r="AM48" s="11">
        <f t="shared" si="8"/>
        <v>0</v>
      </c>
      <c r="AN48" s="11">
        <f t="shared" si="9"/>
        <v>0</v>
      </c>
    </row>
    <row r="49" spans="2:40" x14ac:dyDescent="0.35">
      <c r="B49" s="3" t="s">
        <v>25</v>
      </c>
      <c r="C49" s="10">
        <v>6.6</v>
      </c>
      <c r="D49" s="10">
        <v>6.2</v>
      </c>
      <c r="E49" s="2"/>
      <c r="F49" s="2"/>
      <c r="G49" s="11">
        <f t="shared" si="0"/>
        <v>0</v>
      </c>
      <c r="H49" s="11">
        <f t="shared" si="1"/>
        <v>0</v>
      </c>
      <c r="J49" s="3" t="s">
        <v>25</v>
      </c>
      <c r="K49" s="10">
        <v>6.6</v>
      </c>
      <c r="L49" s="10">
        <v>6.2</v>
      </c>
      <c r="M49" s="2"/>
      <c r="N49" s="2"/>
      <c r="O49" s="11">
        <f t="shared" si="2"/>
        <v>0</v>
      </c>
      <c r="P49" s="11">
        <f t="shared" si="3"/>
        <v>0</v>
      </c>
      <c r="R49" s="3" t="s">
        <v>25</v>
      </c>
      <c r="S49" s="10">
        <v>6.6</v>
      </c>
      <c r="T49" s="10">
        <v>6.2</v>
      </c>
      <c r="U49" s="2"/>
      <c r="V49" s="2"/>
      <c r="W49" s="11">
        <f t="shared" si="4"/>
        <v>0</v>
      </c>
      <c r="X49" s="11">
        <f t="shared" si="5"/>
        <v>0</v>
      </c>
      <c r="Z49" s="3" t="s">
        <v>25</v>
      </c>
      <c r="AA49" s="10">
        <v>6.6</v>
      </c>
      <c r="AB49" s="10">
        <v>6.2</v>
      </c>
      <c r="AC49" s="2"/>
      <c r="AD49" s="2"/>
      <c r="AE49" s="11">
        <f t="shared" si="6"/>
        <v>0</v>
      </c>
      <c r="AF49" s="11">
        <f t="shared" si="7"/>
        <v>0</v>
      </c>
      <c r="AH49" s="3" t="s">
        <v>25</v>
      </c>
      <c r="AI49" s="10">
        <v>6.6</v>
      </c>
      <c r="AJ49" s="10">
        <v>6.2</v>
      </c>
      <c r="AK49" s="2"/>
      <c r="AL49" s="2"/>
      <c r="AM49" s="11">
        <f t="shared" si="8"/>
        <v>0</v>
      </c>
      <c r="AN49" s="11">
        <f t="shared" si="9"/>
        <v>0</v>
      </c>
    </row>
    <row r="50" spans="2:40" x14ac:dyDescent="0.35">
      <c r="B50" s="3" t="s">
        <v>26</v>
      </c>
      <c r="C50" s="10">
        <v>7.2</v>
      </c>
      <c r="D50" s="10">
        <v>6.8</v>
      </c>
      <c r="E50" s="2"/>
      <c r="F50" s="2"/>
      <c r="G50" s="11">
        <f t="shared" si="0"/>
        <v>0</v>
      </c>
      <c r="H50" s="11">
        <f t="shared" si="1"/>
        <v>0</v>
      </c>
      <c r="J50" s="3" t="s">
        <v>26</v>
      </c>
      <c r="K50" s="10">
        <v>7.2</v>
      </c>
      <c r="L50" s="10">
        <v>6.8</v>
      </c>
      <c r="M50" s="2"/>
      <c r="N50" s="2"/>
      <c r="O50" s="11">
        <f t="shared" si="2"/>
        <v>0</v>
      </c>
      <c r="P50" s="11">
        <f t="shared" si="3"/>
        <v>0</v>
      </c>
      <c r="R50" s="3" t="s">
        <v>26</v>
      </c>
      <c r="S50" s="10">
        <v>7.2</v>
      </c>
      <c r="T50" s="10">
        <v>6.8</v>
      </c>
      <c r="U50" s="2"/>
      <c r="V50" s="2"/>
      <c r="W50" s="11">
        <f t="shared" si="4"/>
        <v>0</v>
      </c>
      <c r="X50" s="11">
        <f t="shared" si="5"/>
        <v>0</v>
      </c>
      <c r="Z50" s="3" t="s">
        <v>26</v>
      </c>
      <c r="AA50" s="10">
        <v>7.2</v>
      </c>
      <c r="AB50" s="10">
        <v>6.8</v>
      </c>
      <c r="AC50" s="2"/>
      <c r="AD50" s="2"/>
      <c r="AE50" s="11">
        <f t="shared" si="6"/>
        <v>0</v>
      </c>
      <c r="AF50" s="11">
        <f t="shared" si="7"/>
        <v>0</v>
      </c>
      <c r="AH50" s="3" t="s">
        <v>26</v>
      </c>
      <c r="AI50" s="10">
        <v>7.2</v>
      </c>
      <c r="AJ50" s="10">
        <v>6.8</v>
      </c>
      <c r="AK50" s="2"/>
      <c r="AL50" s="2"/>
      <c r="AM50" s="11">
        <f t="shared" si="8"/>
        <v>0</v>
      </c>
      <c r="AN50" s="11">
        <f t="shared" si="9"/>
        <v>0</v>
      </c>
    </row>
    <row r="52" spans="2:40" x14ac:dyDescent="0.35">
      <c r="B52" s="22" t="s">
        <v>39</v>
      </c>
      <c r="C52" s="22"/>
      <c r="D52" s="22"/>
      <c r="E52" s="15">
        <f>SUM(E37:E50)</f>
        <v>0</v>
      </c>
      <c r="F52" s="15">
        <f>SUM(F37:F50)</f>
        <v>0</v>
      </c>
      <c r="G52" s="11">
        <f>SUM(G37:G50)</f>
        <v>0</v>
      </c>
      <c r="H52" s="11">
        <f>SUM(H37:H50)</f>
        <v>0</v>
      </c>
      <c r="J52" s="22" t="s">
        <v>39</v>
      </c>
      <c r="K52" s="22"/>
      <c r="L52" s="22"/>
      <c r="M52" s="15">
        <f>SUM(M37:M50)</f>
        <v>0</v>
      </c>
      <c r="N52" s="15">
        <f>SUM(N37:N50)</f>
        <v>0</v>
      </c>
      <c r="O52" s="11">
        <f>SUM(O37:O50)</f>
        <v>0</v>
      </c>
      <c r="P52" s="11">
        <f>SUM(P37:P50)</f>
        <v>0</v>
      </c>
      <c r="R52" s="22" t="s">
        <v>39</v>
      </c>
      <c r="S52" s="22"/>
      <c r="T52" s="22"/>
      <c r="U52" s="15">
        <f>SUM(U37:U50)</f>
        <v>0</v>
      </c>
      <c r="V52" s="15">
        <f>SUM(V37:V50)</f>
        <v>0</v>
      </c>
      <c r="W52" s="11">
        <f>SUM(W37:W50)</f>
        <v>0</v>
      </c>
      <c r="X52" s="11">
        <f>SUM(X37:X50)</f>
        <v>0</v>
      </c>
      <c r="Z52" s="22" t="s">
        <v>39</v>
      </c>
      <c r="AA52" s="22"/>
      <c r="AB52" s="22"/>
      <c r="AC52" s="15">
        <f>SUM(AC37:AC50)</f>
        <v>0</v>
      </c>
      <c r="AD52" s="15">
        <f>SUM(AD37:AD50)</f>
        <v>0</v>
      </c>
      <c r="AE52" s="11">
        <f>SUM(AE37:AE50)</f>
        <v>0</v>
      </c>
      <c r="AF52" s="11">
        <f>SUM(AF37:AF50)</f>
        <v>0</v>
      </c>
      <c r="AH52" s="22" t="s">
        <v>39</v>
      </c>
      <c r="AI52" s="22"/>
      <c r="AJ52" s="22"/>
      <c r="AK52" s="15">
        <f>SUM(AK37:AK50)</f>
        <v>0</v>
      </c>
      <c r="AL52" s="15">
        <f>SUM(AL37:AL50)</f>
        <v>0</v>
      </c>
      <c r="AM52" s="11">
        <f>SUM(AM37:AM50)</f>
        <v>0</v>
      </c>
      <c r="AN52" s="11">
        <f>SUM(AN37:AN50)</f>
        <v>0</v>
      </c>
    </row>
    <row r="54" spans="2:40" x14ac:dyDescent="0.35">
      <c r="B54" s="22" t="s">
        <v>41</v>
      </c>
      <c r="C54" s="22"/>
      <c r="D54" s="22"/>
      <c r="E54" s="26">
        <f>E52+F52</f>
        <v>0</v>
      </c>
      <c r="F54" s="27"/>
      <c r="G54" s="28">
        <f>G52+H52</f>
        <v>0</v>
      </c>
      <c r="H54" s="29"/>
      <c r="J54" s="22" t="s">
        <v>41</v>
      </c>
      <c r="K54" s="22"/>
      <c r="L54" s="22"/>
      <c r="M54" s="26">
        <f>M52+N52</f>
        <v>0</v>
      </c>
      <c r="N54" s="27"/>
      <c r="O54" s="28">
        <f>O52+P52</f>
        <v>0</v>
      </c>
      <c r="P54" s="29"/>
      <c r="R54" s="22" t="s">
        <v>41</v>
      </c>
      <c r="S54" s="22"/>
      <c r="T54" s="22"/>
      <c r="U54" s="26">
        <f>U52+V52</f>
        <v>0</v>
      </c>
      <c r="V54" s="27"/>
      <c r="W54" s="28">
        <f>W52+X52</f>
        <v>0</v>
      </c>
      <c r="X54" s="29"/>
      <c r="Z54" s="22" t="s">
        <v>41</v>
      </c>
      <c r="AA54" s="22"/>
      <c r="AB54" s="22"/>
      <c r="AC54" s="26">
        <f>AC52+AD52</f>
        <v>0</v>
      </c>
      <c r="AD54" s="27"/>
      <c r="AE54" s="28">
        <f>AE52+AF52</f>
        <v>0</v>
      </c>
      <c r="AF54" s="29"/>
      <c r="AH54" s="22" t="s">
        <v>41</v>
      </c>
      <c r="AI54" s="22"/>
      <c r="AJ54" s="22"/>
      <c r="AK54" s="26">
        <f>AK52+AL52</f>
        <v>0</v>
      </c>
      <c r="AL54" s="27"/>
      <c r="AM54" s="28">
        <f>AM52+AN52</f>
        <v>0</v>
      </c>
      <c r="AN54" s="29"/>
    </row>
    <row r="56" spans="2:40" x14ac:dyDescent="0.35">
      <c r="B56" s="20" t="s">
        <v>40</v>
      </c>
      <c r="C56" s="20"/>
      <c r="D56" s="20"/>
      <c r="E56" s="21">
        <f>SUM($G$54)</f>
        <v>0</v>
      </c>
      <c r="F56" s="22"/>
      <c r="J56" s="20" t="s">
        <v>40</v>
      </c>
      <c r="K56" s="20"/>
      <c r="L56" s="20"/>
      <c r="M56" s="21">
        <f>SUM($G$54)</f>
        <v>0</v>
      </c>
      <c r="N56" s="22"/>
      <c r="R56" s="20" t="s">
        <v>40</v>
      </c>
      <c r="S56" s="20"/>
      <c r="T56" s="20"/>
      <c r="U56" s="21">
        <f>SUM($G$54)</f>
        <v>0</v>
      </c>
      <c r="V56" s="22"/>
      <c r="Z56" s="20" t="s">
        <v>40</v>
      </c>
      <c r="AA56" s="20"/>
      <c r="AB56" s="20"/>
      <c r="AC56" s="21">
        <f>SUM($G$54)</f>
        <v>0</v>
      </c>
      <c r="AD56" s="22"/>
      <c r="AH56" s="20" t="s">
        <v>40</v>
      </c>
      <c r="AI56" s="20"/>
      <c r="AJ56" s="20"/>
      <c r="AK56" s="21">
        <f>SUM($G$54)</f>
        <v>0</v>
      </c>
      <c r="AL56" s="22"/>
    </row>
    <row r="57" spans="2:40" x14ac:dyDescent="0.35">
      <c r="B57" s="20" t="s">
        <v>42</v>
      </c>
      <c r="C57" s="20"/>
      <c r="D57" s="20"/>
      <c r="E57" s="21">
        <f>SUM(E54)</f>
        <v>0</v>
      </c>
      <c r="F57" s="22"/>
      <c r="J57" s="20" t="s">
        <v>42</v>
      </c>
      <c r="K57" s="20"/>
      <c r="L57" s="20"/>
      <c r="M57" s="21">
        <f>SUM(M54)</f>
        <v>0</v>
      </c>
      <c r="N57" s="22"/>
      <c r="R57" s="20" t="s">
        <v>42</v>
      </c>
      <c r="S57" s="20"/>
      <c r="T57" s="20"/>
      <c r="U57" s="21">
        <f>SUM(U54)</f>
        <v>0</v>
      </c>
      <c r="V57" s="22"/>
      <c r="Z57" s="20" t="s">
        <v>42</v>
      </c>
      <c r="AA57" s="20"/>
      <c r="AB57" s="20"/>
      <c r="AC57" s="21">
        <f>SUM(AC54)</f>
        <v>0</v>
      </c>
      <c r="AD57" s="22"/>
      <c r="AH57" s="20" t="s">
        <v>42</v>
      </c>
      <c r="AI57" s="20"/>
      <c r="AJ57" s="20"/>
      <c r="AK57" s="21">
        <f>SUM(AK54)</f>
        <v>0</v>
      </c>
      <c r="AL57" s="22"/>
    </row>
  </sheetData>
  <mergeCells count="65">
    <mergeCell ref="C35:D35"/>
    <mergeCell ref="E35:F35"/>
    <mergeCell ref="G35:H35"/>
    <mergeCell ref="B34:H34"/>
    <mergeCell ref="B35:B36"/>
    <mergeCell ref="G54:H54"/>
    <mergeCell ref="E57:F57"/>
    <mergeCell ref="B57:D57"/>
    <mergeCell ref="B52:D52"/>
    <mergeCell ref="B56:D56"/>
    <mergeCell ref="E56:F56"/>
    <mergeCell ref="B54:D54"/>
    <mergeCell ref="E54:F54"/>
    <mergeCell ref="J34:P34"/>
    <mergeCell ref="J35:J36"/>
    <mergeCell ref="K35:L35"/>
    <mergeCell ref="M35:N35"/>
    <mergeCell ref="O35:P35"/>
    <mergeCell ref="J54:L54"/>
    <mergeCell ref="M54:N54"/>
    <mergeCell ref="O54:P54"/>
    <mergeCell ref="J56:L56"/>
    <mergeCell ref="M56:N56"/>
    <mergeCell ref="J57:L57"/>
    <mergeCell ref="M57:N57"/>
    <mergeCell ref="R34:X34"/>
    <mergeCell ref="R35:R36"/>
    <mergeCell ref="S35:T35"/>
    <mergeCell ref="U35:V35"/>
    <mergeCell ref="W35:X35"/>
    <mergeCell ref="R52:T52"/>
    <mergeCell ref="R54:T54"/>
    <mergeCell ref="U54:V54"/>
    <mergeCell ref="W54:X54"/>
    <mergeCell ref="R56:T56"/>
    <mergeCell ref="U56:V56"/>
    <mergeCell ref="R57:T57"/>
    <mergeCell ref="U57:V57"/>
    <mergeCell ref="J52:L52"/>
    <mergeCell ref="Z34:AF34"/>
    <mergeCell ref="Z35:Z36"/>
    <mergeCell ref="AA35:AB35"/>
    <mergeCell ref="AC35:AD35"/>
    <mergeCell ref="AE35:AF35"/>
    <mergeCell ref="Z54:AB54"/>
    <mergeCell ref="AC54:AD54"/>
    <mergeCell ref="AE54:AF54"/>
    <mergeCell ref="Z56:AB56"/>
    <mergeCell ref="AC56:AD56"/>
    <mergeCell ref="Z57:AB57"/>
    <mergeCell ref="AC57:AD57"/>
    <mergeCell ref="AH34:AN34"/>
    <mergeCell ref="AH35:AH36"/>
    <mergeCell ref="AI35:AJ35"/>
    <mergeCell ref="AK35:AL35"/>
    <mergeCell ref="AM35:AN35"/>
    <mergeCell ref="AH52:AJ52"/>
    <mergeCell ref="AH54:AJ54"/>
    <mergeCell ref="AK54:AL54"/>
    <mergeCell ref="AM54:AN54"/>
    <mergeCell ref="AH56:AJ56"/>
    <mergeCell ref="AK56:AL56"/>
    <mergeCell ref="AH57:AJ57"/>
    <mergeCell ref="AK57:AL57"/>
    <mergeCell ref="Z52:AB52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1">
          <controlPr defaultSize="0" autoLine="0" autoPict="0" r:id="rId5">
            <anchor moveWithCells="1">
              <from>
                <xdr:col>6</xdr:col>
                <xdr:colOff>749300</xdr:colOff>
                <xdr:row>3</xdr:row>
                <xdr:rowOff>12700</xdr:rowOff>
              </from>
              <to>
                <xdr:col>7</xdr:col>
                <xdr:colOff>749300</xdr:colOff>
                <xdr:row>5</xdr:row>
                <xdr:rowOff>38100</xdr:rowOff>
              </to>
            </anchor>
          </controlPr>
        </control>
      </mc:Choice>
      <mc:Fallback>
        <control shapeId="1027" r:id="rId4" name="CommandButton1"/>
      </mc:Fallback>
    </mc:AlternateContent>
    <mc:AlternateContent xmlns:mc="http://schemas.openxmlformats.org/markup-compatibility/2006">
      <mc:Choice Requires="x14">
        <control shapeId="1028" r:id="rId6" name="ComboBox1">
          <controlPr defaultSize="0" autoLine="0" r:id="rId7">
            <anchor moveWithCells="1">
              <from>
                <xdr:col>5</xdr:col>
                <xdr:colOff>0</xdr:colOff>
                <xdr:row>3</xdr:row>
                <xdr:rowOff>88900</xdr:rowOff>
              </from>
              <to>
                <xdr:col>6</xdr:col>
                <xdr:colOff>279400</xdr:colOff>
                <xdr:row>5</xdr:row>
                <xdr:rowOff>12700</xdr:rowOff>
              </to>
            </anchor>
          </controlPr>
        </control>
      </mc:Choice>
      <mc:Fallback>
        <control shapeId="1028" r:id="rId6" name="ComboBox1"/>
      </mc:Fallback>
    </mc:AlternateContent>
    <mc:AlternateContent xmlns:mc="http://schemas.openxmlformats.org/markup-compatibility/2006">
      <mc:Choice Requires="x14">
        <control shapeId="1026" r:id="rId8" name="Group Box 2">
          <controlPr defaultSize="0" autoFill="0" autoPict="0">
            <anchor moveWithCells="1">
              <from>
                <xdr:col>1</xdr:col>
                <xdr:colOff>0</xdr:colOff>
                <xdr:row>6</xdr:row>
                <xdr:rowOff>38100</xdr:rowOff>
              </from>
              <to>
                <xdr:col>8</xdr:col>
                <xdr:colOff>12700</xdr:colOff>
                <xdr:row>31</xdr:row>
                <xdr:rowOff>152400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062CDF-295D-42CF-BA74-832920302B6D}">
  <sheetPr codeName="Hoja4"/>
  <dimension ref="A1"/>
  <sheetViews>
    <sheetView workbookViewId="0">
      <selection activeCell="D17" sqref="D17"/>
    </sheetView>
  </sheetViews>
  <sheetFormatPr baseColWidth="10"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FEF902-2286-4652-814B-233ADEAEC99A}">
  <sheetPr codeName="Hoja3"/>
  <dimension ref="B2:H16"/>
  <sheetViews>
    <sheetView workbookViewId="0">
      <selection activeCell="G3" sqref="G3:H16"/>
    </sheetView>
  </sheetViews>
  <sheetFormatPr baseColWidth="10" defaultRowHeight="14.5" x14ac:dyDescent="0.35"/>
  <sheetData>
    <row r="2" spans="2:8" ht="29" x14ac:dyDescent="0.35">
      <c r="B2" s="5" t="s">
        <v>32</v>
      </c>
      <c r="C2" s="7" t="s">
        <v>33</v>
      </c>
      <c r="D2" s="7" t="s">
        <v>34</v>
      </c>
      <c r="E2" s="7" t="s">
        <v>35</v>
      </c>
      <c r="F2" s="7" t="s">
        <v>36</v>
      </c>
      <c r="G2" s="7" t="s">
        <v>37</v>
      </c>
      <c r="H2" s="7" t="s">
        <v>38</v>
      </c>
    </row>
    <row r="3" spans="2:8" x14ac:dyDescent="0.35">
      <c r="B3" s="4" t="s">
        <v>13</v>
      </c>
      <c r="C3" s="6">
        <v>1.2</v>
      </c>
      <c r="D3" s="6">
        <v>1.1000000000000001</v>
      </c>
      <c r="E3" s="6">
        <v>3</v>
      </c>
      <c r="F3" s="6">
        <v>2</v>
      </c>
      <c r="G3" s="6">
        <v>3.6</v>
      </c>
      <c r="H3" s="6">
        <v>2.2000000000000002</v>
      </c>
    </row>
    <row r="4" spans="2:8" x14ac:dyDescent="0.35">
      <c r="B4" s="8">
        <v>45905</v>
      </c>
      <c r="C4" s="6">
        <v>1.3</v>
      </c>
      <c r="D4" s="6">
        <v>1.2</v>
      </c>
      <c r="E4" s="6">
        <v>4</v>
      </c>
      <c r="F4" s="6">
        <v>3</v>
      </c>
      <c r="G4" s="6">
        <v>5.2</v>
      </c>
      <c r="H4" s="6">
        <v>3.6</v>
      </c>
    </row>
    <row r="5" spans="2:8" x14ac:dyDescent="0.35">
      <c r="B5" s="9">
        <v>41913</v>
      </c>
      <c r="C5" s="6">
        <v>1.5</v>
      </c>
      <c r="D5" s="6">
        <v>1.4</v>
      </c>
      <c r="E5" s="6">
        <v>2</v>
      </c>
      <c r="F5" s="6">
        <v>2</v>
      </c>
      <c r="G5" s="6">
        <v>3</v>
      </c>
      <c r="H5" s="6">
        <v>2.8</v>
      </c>
    </row>
    <row r="6" spans="2:8" x14ac:dyDescent="0.35">
      <c r="B6" s="4" t="s">
        <v>16</v>
      </c>
      <c r="C6" s="6">
        <v>1.7</v>
      </c>
      <c r="D6" s="6">
        <v>1.6</v>
      </c>
      <c r="E6" s="6">
        <v>2</v>
      </c>
      <c r="F6" s="6">
        <v>3</v>
      </c>
      <c r="G6" s="6">
        <v>3.4</v>
      </c>
      <c r="H6" s="6">
        <v>4.8</v>
      </c>
    </row>
    <row r="7" spans="2:8" x14ac:dyDescent="0.35">
      <c r="B7" s="4" t="s">
        <v>17</v>
      </c>
      <c r="C7" s="6">
        <v>1.9</v>
      </c>
      <c r="D7" s="6">
        <v>1.8</v>
      </c>
      <c r="E7" s="6">
        <v>3</v>
      </c>
      <c r="F7" s="6">
        <v>4</v>
      </c>
      <c r="G7" s="6">
        <v>5.7</v>
      </c>
      <c r="H7" s="6">
        <v>7.2</v>
      </c>
    </row>
    <row r="8" spans="2:8" x14ac:dyDescent="0.35">
      <c r="B8" s="4" t="s">
        <v>18</v>
      </c>
      <c r="C8" s="6">
        <v>2.2000000000000002</v>
      </c>
      <c r="D8" s="6">
        <v>2</v>
      </c>
      <c r="E8" s="6">
        <v>4</v>
      </c>
      <c r="F8" s="6">
        <v>5</v>
      </c>
      <c r="G8" s="6">
        <v>8.8000000000000007</v>
      </c>
      <c r="H8" s="6">
        <v>10</v>
      </c>
    </row>
    <row r="9" spans="2:8" x14ac:dyDescent="0.35">
      <c r="B9" s="4" t="s">
        <v>19</v>
      </c>
      <c r="C9" s="6">
        <v>2.6</v>
      </c>
      <c r="D9" s="6">
        <v>2.4</v>
      </c>
      <c r="E9" s="6">
        <v>5</v>
      </c>
      <c r="F9" s="6">
        <v>4</v>
      </c>
      <c r="G9" s="6">
        <v>13</v>
      </c>
      <c r="H9" s="6">
        <v>9.6</v>
      </c>
    </row>
    <row r="10" spans="2:8" x14ac:dyDescent="0.35">
      <c r="B10" s="4" t="s">
        <v>20</v>
      </c>
      <c r="C10" s="6">
        <v>3</v>
      </c>
      <c r="D10" s="6">
        <v>2.8</v>
      </c>
      <c r="E10" s="6">
        <v>3</v>
      </c>
      <c r="F10" s="6">
        <v>5</v>
      </c>
      <c r="G10" s="6">
        <v>9</v>
      </c>
      <c r="H10" s="6">
        <v>14</v>
      </c>
    </row>
    <row r="11" spans="2:8" x14ac:dyDescent="0.35">
      <c r="B11" s="4" t="s">
        <v>21</v>
      </c>
      <c r="C11" s="6">
        <v>3.5</v>
      </c>
      <c r="D11" s="6">
        <v>3.3</v>
      </c>
      <c r="E11" s="6">
        <v>4</v>
      </c>
      <c r="F11" s="6">
        <v>3</v>
      </c>
      <c r="G11" s="6">
        <v>14</v>
      </c>
      <c r="H11" s="6">
        <v>9.9</v>
      </c>
    </row>
    <row r="12" spans="2:8" x14ac:dyDescent="0.35">
      <c r="B12" s="4" t="s">
        <v>22</v>
      </c>
      <c r="C12" s="6">
        <v>4.2</v>
      </c>
      <c r="D12" s="6">
        <v>3.9</v>
      </c>
      <c r="E12" s="6">
        <v>3</v>
      </c>
      <c r="F12" s="6">
        <v>4</v>
      </c>
      <c r="G12" s="6">
        <v>12.6</v>
      </c>
      <c r="H12" s="6">
        <v>15.6</v>
      </c>
    </row>
    <row r="13" spans="2:8" x14ac:dyDescent="0.35">
      <c r="B13" s="4" t="s">
        <v>23</v>
      </c>
      <c r="C13" s="6">
        <v>5</v>
      </c>
      <c r="D13" s="6">
        <v>4.7</v>
      </c>
      <c r="E13" s="6">
        <v>2</v>
      </c>
      <c r="F13" s="6">
        <v>3</v>
      </c>
      <c r="G13" s="6">
        <v>10</v>
      </c>
      <c r="H13" s="6">
        <v>14.1</v>
      </c>
    </row>
    <row r="14" spans="2:8" x14ac:dyDescent="0.35">
      <c r="B14" s="4" t="s">
        <v>24</v>
      </c>
      <c r="C14" s="6">
        <v>5.8</v>
      </c>
      <c r="D14" s="6">
        <v>5.5</v>
      </c>
      <c r="E14" s="6">
        <v>3</v>
      </c>
      <c r="F14" s="6">
        <v>2</v>
      </c>
      <c r="G14" s="6">
        <v>17.399999999999999</v>
      </c>
      <c r="H14" s="6">
        <v>11</v>
      </c>
    </row>
    <row r="15" spans="2:8" x14ac:dyDescent="0.35">
      <c r="B15" s="4" t="s">
        <v>25</v>
      </c>
      <c r="C15" s="6">
        <v>6.6</v>
      </c>
      <c r="D15" s="6">
        <v>6.2</v>
      </c>
      <c r="E15" s="6">
        <v>2</v>
      </c>
      <c r="F15" s="6">
        <v>2</v>
      </c>
      <c r="G15" s="6">
        <v>13.2</v>
      </c>
      <c r="H15" s="6">
        <v>12.4</v>
      </c>
    </row>
    <row r="16" spans="2:8" x14ac:dyDescent="0.35">
      <c r="B16" s="4" t="s">
        <v>26</v>
      </c>
      <c r="C16" s="6">
        <v>7.2</v>
      </c>
      <c r="D16" s="6">
        <v>6.8</v>
      </c>
      <c r="E16" s="6">
        <v>1</v>
      </c>
      <c r="F16" s="6">
        <v>1</v>
      </c>
      <c r="G16" s="6">
        <v>7.2</v>
      </c>
      <c r="H16" s="6">
        <v>6.8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676EF-311F-41CA-A867-FE78DB7899F3}">
  <sheetPr codeName="Hoja5"/>
  <dimension ref="A1:G72"/>
  <sheetViews>
    <sheetView workbookViewId="0">
      <selection activeCell="D13" sqref="D13"/>
    </sheetView>
  </sheetViews>
  <sheetFormatPr baseColWidth="10" defaultRowHeight="14.5" x14ac:dyDescent="0.35"/>
  <sheetData>
    <row r="1" spans="1:7" x14ac:dyDescent="0.35">
      <c r="A1" s="16" t="s">
        <v>43</v>
      </c>
      <c r="B1" s="16" t="s">
        <v>0</v>
      </c>
      <c r="C1" s="16" t="s">
        <v>44</v>
      </c>
      <c r="D1" s="16" t="s">
        <v>45</v>
      </c>
      <c r="E1" s="16" t="s">
        <v>46</v>
      </c>
      <c r="F1" s="16" t="s">
        <v>47</v>
      </c>
      <c r="G1" s="16" t="s">
        <v>48</v>
      </c>
    </row>
    <row r="2" spans="1:7" x14ac:dyDescent="0.35">
      <c r="A2">
        <v>1111</v>
      </c>
      <c r="B2">
        <v>1095</v>
      </c>
      <c r="C2">
        <v>1</v>
      </c>
      <c r="D2" t="s">
        <v>49</v>
      </c>
      <c r="E2">
        <v>15</v>
      </c>
      <c r="F2">
        <v>19</v>
      </c>
      <c r="G2">
        <v>6</v>
      </c>
    </row>
    <row r="3" spans="1:7" x14ac:dyDescent="0.35">
      <c r="A3">
        <v>1111</v>
      </c>
      <c r="B3">
        <v>1095</v>
      </c>
      <c r="C3">
        <v>1</v>
      </c>
      <c r="D3" t="s">
        <v>49</v>
      </c>
      <c r="E3">
        <v>25</v>
      </c>
      <c r="F3">
        <v>29</v>
      </c>
      <c r="G3">
        <v>5</v>
      </c>
    </row>
    <row r="4" spans="1:7" x14ac:dyDescent="0.35">
      <c r="A4">
        <v>1111</v>
      </c>
      <c r="B4">
        <v>1095</v>
      </c>
      <c r="C4">
        <v>1</v>
      </c>
      <c r="D4" t="s">
        <v>50</v>
      </c>
      <c r="E4">
        <v>40</v>
      </c>
      <c r="F4">
        <v>44</v>
      </c>
      <c r="G4">
        <v>1</v>
      </c>
    </row>
    <row r="5" spans="1:7" x14ac:dyDescent="0.35">
      <c r="A5">
        <v>1111</v>
      </c>
      <c r="B5">
        <v>1234</v>
      </c>
      <c r="C5">
        <v>1</v>
      </c>
      <c r="D5" t="s">
        <v>49</v>
      </c>
      <c r="E5">
        <v>0</v>
      </c>
      <c r="F5">
        <v>4</v>
      </c>
      <c r="G5">
        <v>3</v>
      </c>
    </row>
    <row r="6" spans="1:7" x14ac:dyDescent="0.35">
      <c r="A6">
        <v>1111</v>
      </c>
      <c r="B6">
        <v>1234</v>
      </c>
      <c r="C6">
        <v>1</v>
      </c>
      <c r="D6" t="s">
        <v>49</v>
      </c>
      <c r="E6">
        <v>30</v>
      </c>
      <c r="F6">
        <v>34</v>
      </c>
      <c r="G6">
        <v>1</v>
      </c>
    </row>
    <row r="7" spans="1:7" x14ac:dyDescent="0.35">
      <c r="A7">
        <v>1111</v>
      </c>
      <c r="B7">
        <v>1234</v>
      </c>
      <c r="C7">
        <v>1</v>
      </c>
      <c r="D7" t="s">
        <v>50</v>
      </c>
      <c r="E7">
        <v>35</v>
      </c>
      <c r="F7">
        <v>39</v>
      </c>
      <c r="G7">
        <v>1</v>
      </c>
    </row>
    <row r="8" spans="1:7" x14ac:dyDescent="0.35">
      <c r="A8">
        <v>1111</v>
      </c>
      <c r="B8">
        <v>1234</v>
      </c>
      <c r="C8">
        <v>2</v>
      </c>
      <c r="D8" t="s">
        <v>49</v>
      </c>
      <c r="E8">
        <v>5</v>
      </c>
      <c r="F8">
        <v>9</v>
      </c>
      <c r="G8">
        <v>1</v>
      </c>
    </row>
    <row r="9" spans="1:7" x14ac:dyDescent="0.35">
      <c r="A9">
        <v>1111</v>
      </c>
      <c r="B9">
        <v>1234</v>
      </c>
      <c r="C9">
        <v>2</v>
      </c>
      <c r="D9" t="s">
        <v>50</v>
      </c>
      <c r="E9">
        <v>10</v>
      </c>
      <c r="F9">
        <v>14</v>
      </c>
      <c r="G9">
        <v>1</v>
      </c>
    </row>
    <row r="10" spans="1:7" x14ac:dyDescent="0.35">
      <c r="A10">
        <v>1111</v>
      </c>
      <c r="B10">
        <v>1234</v>
      </c>
      <c r="C10">
        <v>3</v>
      </c>
      <c r="D10" t="s">
        <v>49</v>
      </c>
      <c r="E10">
        <v>20</v>
      </c>
      <c r="F10">
        <v>24</v>
      </c>
      <c r="G10">
        <v>2</v>
      </c>
    </row>
    <row r="11" spans="1:7" x14ac:dyDescent="0.35">
      <c r="A11">
        <v>1111</v>
      </c>
      <c r="B11">
        <v>1234</v>
      </c>
      <c r="C11">
        <v>3</v>
      </c>
      <c r="D11" t="s">
        <v>49</v>
      </c>
      <c r="E11">
        <v>60</v>
      </c>
      <c r="F11">
        <v>64</v>
      </c>
      <c r="G11">
        <v>2</v>
      </c>
    </row>
    <row r="12" spans="1:7" x14ac:dyDescent="0.35">
      <c r="A12">
        <v>1111</v>
      </c>
      <c r="B12">
        <v>1265</v>
      </c>
      <c r="C12">
        <v>1</v>
      </c>
      <c r="D12" t="s">
        <v>49</v>
      </c>
      <c r="E12">
        <v>5</v>
      </c>
      <c r="F12">
        <v>9</v>
      </c>
      <c r="G12">
        <v>4</v>
      </c>
    </row>
    <row r="13" spans="1:7" x14ac:dyDescent="0.35">
      <c r="A13">
        <v>1111</v>
      </c>
      <c r="B13">
        <v>1265</v>
      </c>
      <c r="C13">
        <v>1</v>
      </c>
      <c r="D13" t="s">
        <v>49</v>
      </c>
      <c r="E13">
        <v>10</v>
      </c>
      <c r="F13">
        <v>14</v>
      </c>
      <c r="G13">
        <v>3</v>
      </c>
    </row>
    <row r="14" spans="1:7" x14ac:dyDescent="0.35">
      <c r="A14">
        <v>1111</v>
      </c>
      <c r="B14">
        <v>1265</v>
      </c>
      <c r="C14">
        <v>1</v>
      </c>
      <c r="D14" t="s">
        <v>49</v>
      </c>
      <c r="E14">
        <v>30</v>
      </c>
      <c r="F14">
        <v>39</v>
      </c>
      <c r="G14">
        <v>7</v>
      </c>
    </row>
    <row r="15" spans="1:7" x14ac:dyDescent="0.35">
      <c r="A15">
        <v>1111</v>
      </c>
      <c r="B15">
        <v>1265</v>
      </c>
      <c r="C15">
        <v>1</v>
      </c>
      <c r="D15" t="s">
        <v>50</v>
      </c>
      <c r="E15">
        <v>0</v>
      </c>
      <c r="F15">
        <v>5</v>
      </c>
      <c r="G15">
        <v>3</v>
      </c>
    </row>
    <row r="16" spans="1:7" x14ac:dyDescent="0.35">
      <c r="A16">
        <v>1111</v>
      </c>
      <c r="B16">
        <v>1265</v>
      </c>
      <c r="C16">
        <v>1</v>
      </c>
      <c r="D16" t="s">
        <v>50</v>
      </c>
      <c r="E16">
        <v>20</v>
      </c>
      <c r="F16">
        <v>24</v>
      </c>
      <c r="G16">
        <v>5</v>
      </c>
    </row>
    <row r="17" spans="1:7" x14ac:dyDescent="0.35">
      <c r="A17">
        <v>1111</v>
      </c>
      <c r="B17">
        <v>1265</v>
      </c>
      <c r="C17">
        <v>2</v>
      </c>
      <c r="D17" t="s">
        <v>49</v>
      </c>
      <c r="E17">
        <v>30</v>
      </c>
      <c r="F17">
        <v>34</v>
      </c>
      <c r="G17">
        <v>7</v>
      </c>
    </row>
    <row r="18" spans="1:7" x14ac:dyDescent="0.35">
      <c r="A18">
        <v>1111</v>
      </c>
      <c r="B18">
        <v>1265</v>
      </c>
      <c r="C18">
        <v>2</v>
      </c>
      <c r="D18" t="s">
        <v>50</v>
      </c>
      <c r="E18">
        <v>40</v>
      </c>
      <c r="F18">
        <v>44</v>
      </c>
      <c r="G18">
        <v>1</v>
      </c>
    </row>
    <row r="19" spans="1:7" x14ac:dyDescent="0.35">
      <c r="A19">
        <v>1111</v>
      </c>
      <c r="B19">
        <v>1265</v>
      </c>
      <c r="C19">
        <v>2</v>
      </c>
      <c r="D19" t="s">
        <v>50</v>
      </c>
      <c r="E19">
        <v>45</v>
      </c>
      <c r="F19">
        <v>49</v>
      </c>
      <c r="G19">
        <v>1</v>
      </c>
    </row>
    <row r="20" spans="1:7" x14ac:dyDescent="0.35">
      <c r="A20">
        <v>1111</v>
      </c>
      <c r="B20">
        <v>1265</v>
      </c>
      <c r="C20">
        <v>2</v>
      </c>
      <c r="D20" t="s">
        <v>50</v>
      </c>
      <c r="E20">
        <v>50</v>
      </c>
      <c r="F20">
        <v>54</v>
      </c>
      <c r="G20">
        <v>1</v>
      </c>
    </row>
    <row r="21" spans="1:7" x14ac:dyDescent="0.35">
      <c r="A21">
        <v>1111</v>
      </c>
      <c r="B21">
        <v>1320</v>
      </c>
      <c r="C21">
        <v>1</v>
      </c>
      <c r="D21" t="s">
        <v>49</v>
      </c>
      <c r="E21">
        <v>5</v>
      </c>
      <c r="F21">
        <v>9</v>
      </c>
      <c r="G21">
        <v>1</v>
      </c>
    </row>
    <row r="22" spans="1:7" x14ac:dyDescent="0.35">
      <c r="A22">
        <v>1111</v>
      </c>
      <c r="B22">
        <v>1320</v>
      </c>
      <c r="C22">
        <v>1</v>
      </c>
      <c r="D22" t="s">
        <v>50</v>
      </c>
      <c r="E22">
        <v>20</v>
      </c>
      <c r="F22">
        <v>24</v>
      </c>
      <c r="G22">
        <v>1</v>
      </c>
    </row>
    <row r="23" spans="1:7" x14ac:dyDescent="0.35">
      <c r="A23">
        <v>1111</v>
      </c>
      <c r="B23">
        <v>1320</v>
      </c>
      <c r="C23">
        <v>1</v>
      </c>
      <c r="D23" t="s">
        <v>50</v>
      </c>
      <c r="E23">
        <v>30</v>
      </c>
      <c r="F23">
        <v>34</v>
      </c>
      <c r="G23">
        <v>1</v>
      </c>
    </row>
    <row r="24" spans="1:7" x14ac:dyDescent="0.35">
      <c r="A24">
        <v>1111</v>
      </c>
      <c r="B24">
        <v>1320</v>
      </c>
      <c r="C24">
        <v>1</v>
      </c>
      <c r="D24" t="s">
        <v>50</v>
      </c>
      <c r="E24">
        <v>45</v>
      </c>
      <c r="F24">
        <v>49</v>
      </c>
      <c r="G24">
        <v>4</v>
      </c>
    </row>
    <row r="25" spans="1:7" x14ac:dyDescent="0.35">
      <c r="A25">
        <v>1111</v>
      </c>
      <c r="B25">
        <v>1457</v>
      </c>
      <c r="C25">
        <v>1</v>
      </c>
      <c r="D25" t="s">
        <v>49</v>
      </c>
      <c r="E25">
        <v>4</v>
      </c>
      <c r="F25">
        <v>5</v>
      </c>
      <c r="G25">
        <v>2</v>
      </c>
    </row>
    <row r="26" spans="1:7" x14ac:dyDescent="0.35">
      <c r="A26">
        <v>1111</v>
      </c>
      <c r="B26">
        <v>1457</v>
      </c>
      <c r="C26">
        <v>1</v>
      </c>
      <c r="D26" t="s">
        <v>50</v>
      </c>
      <c r="E26">
        <v>60</v>
      </c>
      <c r="F26">
        <v>64</v>
      </c>
      <c r="G26">
        <v>2</v>
      </c>
    </row>
    <row r="27" spans="1:7" x14ac:dyDescent="0.35">
      <c r="A27">
        <v>1111</v>
      </c>
      <c r="B27">
        <v>1457</v>
      </c>
      <c r="C27">
        <v>2</v>
      </c>
      <c r="D27" t="s">
        <v>49</v>
      </c>
      <c r="E27">
        <v>5</v>
      </c>
      <c r="F27">
        <v>9</v>
      </c>
      <c r="G27">
        <v>4</v>
      </c>
    </row>
    <row r="28" spans="1:7" x14ac:dyDescent="0.35">
      <c r="A28">
        <v>1111</v>
      </c>
      <c r="B28">
        <v>1457</v>
      </c>
      <c r="C28">
        <v>3</v>
      </c>
      <c r="D28" t="s">
        <v>50</v>
      </c>
      <c r="E28">
        <v>45</v>
      </c>
      <c r="F28">
        <v>49</v>
      </c>
      <c r="G28">
        <v>1</v>
      </c>
    </row>
    <row r="29" spans="1:7" x14ac:dyDescent="0.35">
      <c r="A29">
        <v>1111</v>
      </c>
      <c r="B29">
        <v>1457</v>
      </c>
      <c r="C29">
        <v>4</v>
      </c>
      <c r="D29" t="s">
        <v>49</v>
      </c>
      <c r="E29">
        <v>35</v>
      </c>
      <c r="F29">
        <v>39</v>
      </c>
      <c r="G29">
        <v>3</v>
      </c>
    </row>
    <row r="30" spans="1:7" x14ac:dyDescent="0.35">
      <c r="A30">
        <v>1111</v>
      </c>
      <c r="B30">
        <v>1457</v>
      </c>
      <c r="C30">
        <v>4</v>
      </c>
      <c r="D30" t="s">
        <v>49</v>
      </c>
      <c r="E30">
        <v>45</v>
      </c>
      <c r="F30">
        <v>49</v>
      </c>
      <c r="G30">
        <v>5</v>
      </c>
    </row>
    <row r="31" spans="1:7" x14ac:dyDescent="0.35">
      <c r="A31">
        <v>1111</v>
      </c>
      <c r="B31">
        <v>1457</v>
      </c>
      <c r="C31">
        <v>5</v>
      </c>
      <c r="D31" t="s">
        <v>50</v>
      </c>
      <c r="E31">
        <v>55</v>
      </c>
      <c r="F31">
        <v>59</v>
      </c>
      <c r="G31">
        <v>1</v>
      </c>
    </row>
    <row r="32" spans="1:7" x14ac:dyDescent="0.35">
      <c r="A32">
        <v>1111</v>
      </c>
      <c r="B32">
        <v>1525</v>
      </c>
      <c r="C32">
        <v>1</v>
      </c>
      <c r="D32" t="s">
        <v>49</v>
      </c>
      <c r="E32">
        <v>5</v>
      </c>
      <c r="F32">
        <v>9</v>
      </c>
      <c r="G32">
        <v>1</v>
      </c>
    </row>
    <row r="33" spans="1:7" x14ac:dyDescent="0.35">
      <c r="A33">
        <v>1111</v>
      </c>
      <c r="B33">
        <v>1525</v>
      </c>
      <c r="C33">
        <v>1</v>
      </c>
      <c r="D33" t="s">
        <v>49</v>
      </c>
      <c r="E33">
        <v>30</v>
      </c>
      <c r="F33">
        <v>34</v>
      </c>
      <c r="G33">
        <v>1</v>
      </c>
    </row>
    <row r="34" spans="1:7" x14ac:dyDescent="0.35">
      <c r="A34">
        <v>1111</v>
      </c>
      <c r="B34">
        <v>1525</v>
      </c>
      <c r="C34">
        <v>1</v>
      </c>
      <c r="D34" t="s">
        <v>49</v>
      </c>
      <c r="E34">
        <v>35</v>
      </c>
      <c r="F34">
        <v>39</v>
      </c>
      <c r="G34">
        <v>1</v>
      </c>
    </row>
    <row r="35" spans="1:7" x14ac:dyDescent="0.35">
      <c r="A35">
        <v>1111</v>
      </c>
      <c r="B35">
        <v>1525</v>
      </c>
      <c r="C35">
        <v>1</v>
      </c>
      <c r="D35" t="s">
        <v>49</v>
      </c>
      <c r="E35">
        <v>40</v>
      </c>
      <c r="F35">
        <v>44</v>
      </c>
      <c r="G35">
        <v>1</v>
      </c>
    </row>
    <row r="36" spans="1:7" x14ac:dyDescent="0.35">
      <c r="A36">
        <v>1111</v>
      </c>
      <c r="B36">
        <v>1525</v>
      </c>
      <c r="C36">
        <v>1</v>
      </c>
      <c r="D36" t="s">
        <v>49</v>
      </c>
      <c r="E36">
        <v>60</v>
      </c>
      <c r="F36">
        <v>64</v>
      </c>
      <c r="G36">
        <v>1</v>
      </c>
    </row>
    <row r="37" spans="1:7" x14ac:dyDescent="0.35">
      <c r="A37">
        <v>1111</v>
      </c>
      <c r="B37">
        <v>1525</v>
      </c>
      <c r="C37">
        <v>1</v>
      </c>
      <c r="D37" t="s">
        <v>50</v>
      </c>
      <c r="E37">
        <v>15</v>
      </c>
      <c r="F37">
        <v>19</v>
      </c>
      <c r="G37">
        <v>1</v>
      </c>
    </row>
    <row r="38" spans="1:7" x14ac:dyDescent="0.35">
      <c r="A38">
        <v>1111</v>
      </c>
      <c r="B38">
        <v>1525</v>
      </c>
      <c r="C38">
        <v>1</v>
      </c>
      <c r="D38" t="s">
        <v>50</v>
      </c>
      <c r="E38">
        <v>20</v>
      </c>
      <c r="F38">
        <v>24</v>
      </c>
      <c r="G38">
        <v>1</v>
      </c>
    </row>
    <row r="39" spans="1:7" x14ac:dyDescent="0.35">
      <c r="A39">
        <v>1111</v>
      </c>
      <c r="B39">
        <v>1525</v>
      </c>
      <c r="C39">
        <v>1</v>
      </c>
      <c r="D39" t="s">
        <v>50</v>
      </c>
      <c r="E39">
        <v>25</v>
      </c>
      <c r="F39">
        <v>29</v>
      </c>
      <c r="G39">
        <v>1</v>
      </c>
    </row>
    <row r="40" spans="1:7" x14ac:dyDescent="0.35">
      <c r="A40">
        <v>1111</v>
      </c>
      <c r="B40">
        <v>1525</v>
      </c>
      <c r="C40">
        <v>1</v>
      </c>
      <c r="D40" t="s">
        <v>50</v>
      </c>
      <c r="E40">
        <v>30</v>
      </c>
      <c r="F40">
        <v>34</v>
      </c>
      <c r="G40">
        <v>2</v>
      </c>
    </row>
    <row r="41" spans="1:7" x14ac:dyDescent="0.35">
      <c r="A41">
        <v>1111</v>
      </c>
      <c r="B41">
        <v>1525</v>
      </c>
      <c r="C41">
        <v>2</v>
      </c>
      <c r="D41" t="s">
        <v>49</v>
      </c>
      <c r="E41">
        <v>10</v>
      </c>
      <c r="F41">
        <v>14</v>
      </c>
      <c r="G41">
        <v>2</v>
      </c>
    </row>
    <row r="42" spans="1:7" x14ac:dyDescent="0.35">
      <c r="A42">
        <v>1111</v>
      </c>
      <c r="B42">
        <v>1525</v>
      </c>
      <c r="C42">
        <v>2</v>
      </c>
      <c r="D42" t="s">
        <v>49</v>
      </c>
      <c r="E42">
        <v>15</v>
      </c>
      <c r="F42">
        <v>19</v>
      </c>
      <c r="G42">
        <v>2</v>
      </c>
    </row>
    <row r="43" spans="1:7" x14ac:dyDescent="0.35">
      <c r="A43">
        <v>1111</v>
      </c>
      <c r="B43">
        <v>1525</v>
      </c>
      <c r="C43">
        <v>2</v>
      </c>
      <c r="D43" t="s">
        <v>50</v>
      </c>
      <c r="E43">
        <v>15</v>
      </c>
      <c r="F43">
        <v>19</v>
      </c>
      <c r="G43">
        <v>2</v>
      </c>
    </row>
    <row r="44" spans="1:7" x14ac:dyDescent="0.35">
      <c r="A44">
        <v>1111</v>
      </c>
      <c r="B44">
        <v>1525</v>
      </c>
      <c r="C44">
        <v>2</v>
      </c>
      <c r="D44" t="s">
        <v>50</v>
      </c>
      <c r="E44">
        <v>25</v>
      </c>
      <c r="F44">
        <v>29</v>
      </c>
      <c r="G44">
        <v>1</v>
      </c>
    </row>
    <row r="45" spans="1:7" x14ac:dyDescent="0.35">
      <c r="A45">
        <v>1111</v>
      </c>
      <c r="B45">
        <v>1525</v>
      </c>
      <c r="C45">
        <v>2</v>
      </c>
      <c r="D45" t="s">
        <v>50</v>
      </c>
      <c r="E45">
        <v>30</v>
      </c>
      <c r="F45">
        <v>34</v>
      </c>
      <c r="G45">
        <v>1</v>
      </c>
    </row>
    <row r="46" spans="1:7" x14ac:dyDescent="0.35">
      <c r="A46">
        <v>1111</v>
      </c>
      <c r="B46">
        <v>1638</v>
      </c>
      <c r="C46">
        <v>1</v>
      </c>
      <c r="D46" t="s">
        <v>49</v>
      </c>
      <c r="E46">
        <v>55</v>
      </c>
      <c r="F46">
        <v>59</v>
      </c>
      <c r="G46">
        <v>2</v>
      </c>
    </row>
    <row r="47" spans="1:7" x14ac:dyDescent="0.35">
      <c r="A47">
        <v>1111</v>
      </c>
      <c r="B47">
        <v>1638</v>
      </c>
      <c r="C47">
        <v>1</v>
      </c>
      <c r="D47" t="s">
        <v>50</v>
      </c>
      <c r="E47">
        <v>20</v>
      </c>
      <c r="F47">
        <v>24</v>
      </c>
      <c r="G47">
        <v>2</v>
      </c>
    </row>
    <row r="48" spans="1:7" x14ac:dyDescent="0.35">
      <c r="A48">
        <v>1111</v>
      </c>
      <c r="B48">
        <v>1638</v>
      </c>
      <c r="C48">
        <v>1</v>
      </c>
      <c r="D48" t="s">
        <v>50</v>
      </c>
      <c r="E48">
        <v>65</v>
      </c>
      <c r="F48">
        <v>69</v>
      </c>
      <c r="G48">
        <v>2</v>
      </c>
    </row>
    <row r="49" spans="1:7" x14ac:dyDescent="0.35">
      <c r="A49">
        <v>1111</v>
      </c>
      <c r="B49">
        <v>1756</v>
      </c>
      <c r="C49">
        <v>1</v>
      </c>
      <c r="D49" t="s">
        <v>49</v>
      </c>
      <c r="E49">
        <v>0</v>
      </c>
      <c r="F49">
        <v>4</v>
      </c>
      <c r="G49">
        <v>3</v>
      </c>
    </row>
    <row r="50" spans="1:7" x14ac:dyDescent="0.35">
      <c r="A50">
        <v>1111</v>
      </c>
      <c r="B50">
        <v>1756</v>
      </c>
      <c r="C50">
        <v>1</v>
      </c>
      <c r="D50" t="s">
        <v>49</v>
      </c>
      <c r="E50">
        <v>10</v>
      </c>
      <c r="F50">
        <v>14</v>
      </c>
      <c r="G50">
        <v>1</v>
      </c>
    </row>
    <row r="51" spans="1:7" x14ac:dyDescent="0.35">
      <c r="A51">
        <v>1111</v>
      </c>
      <c r="B51">
        <v>1756</v>
      </c>
      <c r="C51">
        <v>1</v>
      </c>
      <c r="D51" t="s">
        <v>49</v>
      </c>
      <c r="E51">
        <v>15</v>
      </c>
      <c r="F51">
        <v>19</v>
      </c>
      <c r="G51">
        <v>1</v>
      </c>
    </row>
    <row r="52" spans="1:7" x14ac:dyDescent="0.35">
      <c r="A52">
        <v>1111</v>
      </c>
      <c r="B52">
        <v>1756</v>
      </c>
      <c r="C52">
        <v>1</v>
      </c>
      <c r="D52" t="s">
        <v>49</v>
      </c>
      <c r="E52">
        <v>20</v>
      </c>
      <c r="F52">
        <v>24</v>
      </c>
      <c r="G52">
        <v>1</v>
      </c>
    </row>
    <row r="53" spans="1:7" x14ac:dyDescent="0.35">
      <c r="A53">
        <v>1111</v>
      </c>
      <c r="B53">
        <v>1756</v>
      </c>
      <c r="C53">
        <v>1</v>
      </c>
      <c r="D53" t="s">
        <v>49</v>
      </c>
      <c r="E53">
        <v>30</v>
      </c>
      <c r="F53">
        <v>34</v>
      </c>
      <c r="G53">
        <v>1</v>
      </c>
    </row>
    <row r="54" spans="1:7" x14ac:dyDescent="0.35">
      <c r="A54">
        <v>1111</v>
      </c>
      <c r="B54">
        <v>1756</v>
      </c>
      <c r="C54">
        <v>1</v>
      </c>
      <c r="D54" t="s">
        <v>49</v>
      </c>
      <c r="E54">
        <v>35</v>
      </c>
      <c r="F54">
        <v>39</v>
      </c>
      <c r="G54">
        <v>1</v>
      </c>
    </row>
    <row r="55" spans="1:7" x14ac:dyDescent="0.35">
      <c r="A55">
        <v>1111</v>
      </c>
      <c r="B55">
        <v>1756</v>
      </c>
      <c r="C55">
        <v>1</v>
      </c>
      <c r="D55" t="s">
        <v>49</v>
      </c>
      <c r="E55">
        <v>60</v>
      </c>
      <c r="F55">
        <v>64</v>
      </c>
      <c r="G55">
        <v>1</v>
      </c>
    </row>
    <row r="56" spans="1:7" x14ac:dyDescent="0.35">
      <c r="A56">
        <v>1111</v>
      </c>
      <c r="B56">
        <v>1756</v>
      </c>
      <c r="C56">
        <v>1</v>
      </c>
      <c r="D56" t="s">
        <v>49</v>
      </c>
      <c r="E56">
        <v>65</v>
      </c>
      <c r="F56">
        <v>69</v>
      </c>
      <c r="G56">
        <v>1</v>
      </c>
    </row>
    <row r="57" spans="1:7" x14ac:dyDescent="0.35">
      <c r="A57">
        <v>1111</v>
      </c>
      <c r="B57">
        <v>1756</v>
      </c>
      <c r="C57">
        <v>1</v>
      </c>
      <c r="D57" t="s">
        <v>50</v>
      </c>
      <c r="E57">
        <v>10</v>
      </c>
      <c r="F57">
        <v>14</v>
      </c>
      <c r="G57">
        <v>1</v>
      </c>
    </row>
    <row r="58" spans="1:7" x14ac:dyDescent="0.35">
      <c r="A58">
        <v>1111</v>
      </c>
      <c r="B58">
        <v>1756</v>
      </c>
      <c r="C58">
        <v>1</v>
      </c>
      <c r="D58" t="s">
        <v>50</v>
      </c>
      <c r="E58">
        <v>25</v>
      </c>
      <c r="F58">
        <v>29</v>
      </c>
      <c r="G58">
        <v>7</v>
      </c>
    </row>
    <row r="59" spans="1:7" x14ac:dyDescent="0.35">
      <c r="A59">
        <v>1111</v>
      </c>
      <c r="B59">
        <v>1756</v>
      </c>
      <c r="C59">
        <v>1</v>
      </c>
      <c r="D59" t="s">
        <v>50</v>
      </c>
      <c r="E59">
        <v>30</v>
      </c>
      <c r="F59">
        <v>34</v>
      </c>
      <c r="G59">
        <v>5</v>
      </c>
    </row>
    <row r="60" spans="1:7" x14ac:dyDescent="0.35">
      <c r="A60">
        <v>1111</v>
      </c>
      <c r="B60">
        <v>1756</v>
      </c>
      <c r="C60">
        <v>1</v>
      </c>
      <c r="D60" t="s">
        <v>50</v>
      </c>
      <c r="E60">
        <v>55</v>
      </c>
      <c r="F60">
        <v>59</v>
      </c>
      <c r="G60">
        <v>2</v>
      </c>
    </row>
    <row r="61" spans="1:7" x14ac:dyDescent="0.35">
      <c r="A61">
        <v>1111</v>
      </c>
      <c r="B61">
        <v>1756</v>
      </c>
      <c r="C61">
        <v>1</v>
      </c>
      <c r="D61" t="s">
        <v>50</v>
      </c>
      <c r="E61">
        <v>65</v>
      </c>
      <c r="F61">
        <v>69</v>
      </c>
      <c r="G61">
        <v>2</v>
      </c>
    </row>
    <row r="62" spans="1:7" x14ac:dyDescent="0.35">
      <c r="A62">
        <v>1111</v>
      </c>
      <c r="B62">
        <v>1787</v>
      </c>
      <c r="C62">
        <v>2</v>
      </c>
      <c r="D62" t="s">
        <v>49</v>
      </c>
      <c r="E62">
        <v>0</v>
      </c>
      <c r="F62">
        <v>4</v>
      </c>
      <c r="G62">
        <v>1</v>
      </c>
    </row>
    <row r="63" spans="1:7" x14ac:dyDescent="0.35">
      <c r="A63">
        <v>1111</v>
      </c>
      <c r="B63">
        <v>1787</v>
      </c>
      <c r="C63">
        <v>2</v>
      </c>
      <c r="D63" t="s">
        <v>50</v>
      </c>
      <c r="E63">
        <v>10</v>
      </c>
      <c r="F63">
        <v>14</v>
      </c>
      <c r="G63">
        <v>1</v>
      </c>
    </row>
    <row r="64" spans="1:7" x14ac:dyDescent="0.35">
      <c r="A64">
        <v>1111</v>
      </c>
      <c r="B64">
        <v>1787</v>
      </c>
      <c r="C64">
        <v>2</v>
      </c>
      <c r="D64" t="s">
        <v>50</v>
      </c>
      <c r="E64">
        <v>50</v>
      </c>
      <c r="F64">
        <v>54</v>
      </c>
      <c r="G64">
        <v>1</v>
      </c>
    </row>
    <row r="65" spans="1:7" x14ac:dyDescent="0.35">
      <c r="A65">
        <v>1111</v>
      </c>
      <c r="B65">
        <v>1787</v>
      </c>
      <c r="C65">
        <v>2</v>
      </c>
      <c r="D65" t="s">
        <v>50</v>
      </c>
      <c r="E65">
        <v>65</v>
      </c>
      <c r="F65">
        <v>69</v>
      </c>
      <c r="G65">
        <v>1</v>
      </c>
    </row>
    <row r="66" spans="1:7" x14ac:dyDescent="0.35">
      <c r="A66">
        <v>1111</v>
      </c>
      <c r="B66">
        <v>1875</v>
      </c>
      <c r="C66">
        <v>1</v>
      </c>
      <c r="D66" t="s">
        <v>49</v>
      </c>
      <c r="E66">
        <v>5</v>
      </c>
      <c r="F66">
        <v>9</v>
      </c>
      <c r="G66">
        <v>1</v>
      </c>
    </row>
    <row r="67" spans="1:7" x14ac:dyDescent="0.35">
      <c r="A67">
        <v>1111</v>
      </c>
      <c r="B67">
        <v>1875</v>
      </c>
      <c r="C67">
        <v>1</v>
      </c>
      <c r="D67" t="s">
        <v>49</v>
      </c>
      <c r="E67">
        <v>10</v>
      </c>
      <c r="F67">
        <v>14</v>
      </c>
      <c r="G67">
        <v>2</v>
      </c>
    </row>
    <row r="68" spans="1:7" x14ac:dyDescent="0.35">
      <c r="A68">
        <v>1111</v>
      </c>
      <c r="B68">
        <v>1875</v>
      </c>
      <c r="C68">
        <v>1</v>
      </c>
      <c r="D68" t="s">
        <v>49</v>
      </c>
      <c r="E68">
        <v>15</v>
      </c>
      <c r="F68">
        <v>19</v>
      </c>
      <c r="G68">
        <v>2</v>
      </c>
    </row>
    <row r="69" spans="1:7" x14ac:dyDescent="0.35">
      <c r="A69">
        <v>1111</v>
      </c>
      <c r="B69">
        <v>1875</v>
      </c>
      <c r="C69">
        <v>1</v>
      </c>
      <c r="D69" t="s">
        <v>49</v>
      </c>
      <c r="E69">
        <v>20</v>
      </c>
      <c r="F69">
        <v>24</v>
      </c>
      <c r="G69">
        <v>2</v>
      </c>
    </row>
    <row r="70" spans="1:7" x14ac:dyDescent="0.35">
      <c r="A70">
        <v>1111</v>
      </c>
      <c r="B70">
        <v>1952</v>
      </c>
      <c r="C70">
        <v>1</v>
      </c>
      <c r="D70" t="s">
        <v>49</v>
      </c>
      <c r="E70">
        <v>45</v>
      </c>
      <c r="F70">
        <v>49</v>
      </c>
      <c r="G70">
        <v>1</v>
      </c>
    </row>
    <row r="71" spans="1:7" x14ac:dyDescent="0.35">
      <c r="A71">
        <v>1111</v>
      </c>
      <c r="B71">
        <v>1952</v>
      </c>
      <c r="C71">
        <v>1</v>
      </c>
      <c r="D71" t="s">
        <v>50</v>
      </c>
      <c r="E71">
        <v>50</v>
      </c>
      <c r="F71">
        <v>54</v>
      </c>
      <c r="G71">
        <v>3</v>
      </c>
    </row>
    <row r="72" spans="1:7" x14ac:dyDescent="0.35">
      <c r="A72">
        <v>1111</v>
      </c>
      <c r="B72">
        <v>1952</v>
      </c>
      <c r="C72">
        <v>1</v>
      </c>
      <c r="D72" t="s">
        <v>50</v>
      </c>
      <c r="E72">
        <v>55</v>
      </c>
      <c r="F72">
        <v>59</v>
      </c>
      <c r="G7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POLIZARIO</vt:lpstr>
      <vt:lpstr>PROPUESTA</vt:lpstr>
      <vt:lpstr>MODIFICACIONES</vt:lpstr>
      <vt:lpstr>Hoja2</vt:lpstr>
      <vt:lpstr>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Sánchez García Malinalli</dc:creator>
  <cp:lastModifiedBy>MALINALLI SANCHEZ GARCIA</cp:lastModifiedBy>
  <dcterms:created xsi:type="dcterms:W3CDTF">2025-11-10T03:22:40Z</dcterms:created>
  <dcterms:modified xsi:type="dcterms:W3CDTF">2025-11-14T22:55:38Z</dcterms:modified>
</cp:coreProperties>
</file>