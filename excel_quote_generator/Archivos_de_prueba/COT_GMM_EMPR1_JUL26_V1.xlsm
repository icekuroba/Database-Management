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SD\Desktop\Archivos de prueba\"/>
    </mc:Choice>
  </mc:AlternateContent>
  <xr:revisionPtr revIDLastSave="0" documentId="13_ncr:1_{155EB3DA-2084-4CF6-9A9A-998DA1668CF6}" xr6:coauthVersionLast="47" xr6:coauthVersionMax="47" xr10:uidLastSave="{00000000-0000-0000-0000-000000000000}"/>
  <bookViews>
    <workbookView xWindow="-110" yWindow="-110" windowWidth="19420" windowHeight="10420" activeTab="4" xr2:uid="{59D73E4E-7455-4BFE-B89A-82F6886F6827}"/>
  </bookViews>
  <sheets>
    <sheet name="DATOS" sheetId="7" r:id="rId1"/>
    <sheet name="POLIZARIO" sheetId="1" r:id="rId2"/>
    <sheet name="PROPUESTA" sheetId="2" r:id="rId3"/>
    <sheet name="MODIFICACIONES" sheetId="8" r:id="rId4"/>
    <sheet name="Hoja2" sheetId="3" r:id="rId5"/>
  </sheets>
  <definedNames>
    <definedName name="_xlnm._FilterDatabase" localSheetId="0" hidden="1">DATOS!$A$1:$O$72</definedName>
    <definedName name="_xlnm._FilterDatabase" localSheetId="1" hidden="1">POLIZARIO!$B$8:$F$19</definedName>
    <definedName name="RANGO_CENSO">PROPUESTA!$E$37:$F$50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2" l="1"/>
  <c r="G13" i="2"/>
  <c r="G12" i="2"/>
  <c r="G15" i="2"/>
  <c r="D15" i="2"/>
  <c r="D14" i="2"/>
  <c r="H47" i="2" l="1"/>
  <c r="H46" i="2"/>
  <c r="H50" i="2"/>
  <c r="H49" i="2"/>
  <c r="H45" i="2"/>
  <c r="H41" i="2"/>
  <c r="G45" i="2"/>
  <c r="G41" i="2"/>
  <c r="H48" i="2"/>
  <c r="H44" i="2"/>
  <c r="H40" i="2"/>
  <c r="G44" i="2"/>
  <c r="G40" i="2"/>
  <c r="H43" i="2"/>
  <c r="H39" i="2"/>
  <c r="G43" i="2"/>
  <c r="G39" i="2"/>
  <c r="H42" i="2"/>
  <c r="H38" i="2"/>
  <c r="G42" i="2"/>
  <c r="L72" i="7"/>
  <c r="L71" i="7"/>
  <c r="L70" i="7"/>
  <c r="L69" i="7"/>
  <c r="L68" i="7"/>
  <c r="L67" i="7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L35" i="7"/>
  <c r="L34" i="7"/>
  <c r="L33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L4" i="7"/>
  <c r="L3" i="7"/>
  <c r="L2" i="7"/>
  <c r="G37" i="2"/>
  <c r="F52" i="2"/>
  <c r="E52" i="2"/>
  <c r="H37" i="2"/>
  <c r="G38" i="2"/>
  <c r="G46" i="2"/>
  <c r="G47" i="2"/>
  <c r="G48" i="2"/>
  <c r="G49" i="2"/>
  <c r="G50" i="2"/>
  <c r="G14" i="2" l="1"/>
  <c r="E54" i="2"/>
  <c r="E57" i="2" s="1"/>
  <c r="H52" i="2"/>
  <c r="G52" i="2"/>
  <c r="G54" i="2" l="1"/>
  <c r="E56" i="2" s="1"/>
</calcChain>
</file>

<file path=xl/sharedStrings.xml><?xml version="1.0" encoding="utf-8"?>
<sst xmlns="http://schemas.openxmlformats.org/spreadsheetml/2006/main" count="860" uniqueCount="90">
  <si>
    <t>NPOLIZA</t>
  </si>
  <si>
    <t>Contratante</t>
  </si>
  <si>
    <t>Resumen de polizas</t>
  </si>
  <si>
    <t>Tabla</t>
  </si>
  <si>
    <t>edad</t>
  </si>
  <si>
    <t>00-04</t>
  </si>
  <si>
    <t>05-09</t>
  </si>
  <si>
    <t>10-14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</si>
  <si>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</si>
  <si>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</si>
  <si>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</si>
  <si>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</si>
  <si>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</si>
  <si>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</si>
  <si>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</si>
  <si>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</si>
  <si>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</si>
  <si>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</si>
  <si>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65-69</t>
  </si>
  <si>
    <t>HOMBRE</t>
  </si>
  <si>
    <t>MUJER</t>
  </si>
  <si>
    <t>CENSO</t>
  </si>
  <si>
    <t>TARIFA</t>
  </si>
  <si>
    <t>PRIMA TOTAL</t>
  </si>
  <si>
    <t>SUBTOTAL</t>
  </si>
  <si>
    <t>PRIMA NETA</t>
  </si>
  <si>
    <t>TOTAL</t>
  </si>
  <si>
    <t>TOTAL ASEGURADOS</t>
  </si>
  <si>
    <t>RAMSUBRAMO</t>
  </si>
  <si>
    <t>M</t>
  </si>
  <si>
    <t>F</t>
  </si>
  <si>
    <t>empresa1</t>
  </si>
  <si>
    <t>empresa2</t>
  </si>
  <si>
    <t>empresa3</t>
  </si>
  <si>
    <t>empresa4</t>
  </si>
  <si>
    <t>empresa5</t>
  </si>
  <si>
    <t>empresa6</t>
  </si>
  <si>
    <t>empresa7</t>
  </si>
  <si>
    <t>empresa8</t>
  </si>
  <si>
    <t>FINIVIG</t>
  </si>
  <si>
    <t>PMAVIG_ACTU</t>
  </si>
  <si>
    <t>SINIESTRALIDAD_ANUALIZADA</t>
  </si>
  <si>
    <t>CLAIM_RATIO</t>
  </si>
  <si>
    <t>EDAD_DESDE</t>
  </si>
  <si>
    <t>EDAD_HASTA</t>
  </si>
  <si>
    <t>RANGO_EDAD</t>
  </si>
  <si>
    <t>INCREMENTO_MAX</t>
  </si>
  <si>
    <t>30-39</t>
  </si>
  <si>
    <t>00-05</t>
  </si>
  <si>
    <t>04-05</t>
  </si>
  <si>
    <t>TARIFA_H_BASE</t>
  </si>
  <si>
    <t>TARIFA_M_BASE</t>
  </si>
  <si>
    <t>TARIFA_H_FINAL</t>
  </si>
  <si>
    <t>TARIFA_M_FINAL</t>
  </si>
  <si>
    <t>Uso</t>
  </si>
  <si>
    <t>Esta tabla permite manejar tarifas distintas por póliza y subgrupo.</t>
  </si>
  <si>
    <t>La macro busca por NPOLIZA + NSUB + RANGO_EDAD.</t>
  </si>
  <si>
    <t>TARIFA_H_FINAL y TARIFA_M_FINAL ya consideran INCREMENTO_MAX.</t>
  </si>
  <si>
    <t>Puedes editar TARIFA_H_BASE/TARIFA_M_BASE o el incremento para simular escenarios.</t>
  </si>
  <si>
    <t>No borres MODIFICACIONES: tu macro ya la usa como hoja de soporte.</t>
  </si>
  <si>
    <t>Código sugerido incluido en el archivo TXT adjunto.</t>
  </si>
  <si>
    <t>TARIFA_HOMBRE</t>
  </si>
  <si>
    <t>TARIFA_MUJER</t>
  </si>
  <si>
    <t>Póliza seleccionada</t>
  </si>
  <si>
    <t>Subgrupo</t>
  </si>
  <si>
    <t>Inicio de vigencia</t>
  </si>
  <si>
    <t>Prima vigente actual</t>
  </si>
  <si>
    <t>Claim ratio</t>
  </si>
  <si>
    <t>Incremento máximo</t>
  </si>
  <si>
    <t>Incremento mínimo</t>
  </si>
  <si>
    <t>Flujo de la macro demo</t>
  </si>
  <si>
    <t>1</t>
  </si>
  <si>
    <t>Lee DATOS por póliza y subgrupo</t>
  </si>
  <si>
    <t>2</t>
  </si>
  <si>
    <t>Agrupa asegurados por sexo y rango</t>
  </si>
  <si>
    <t>3</t>
  </si>
  <si>
    <t>Trae tarifas desde TARIFAS</t>
  </si>
  <si>
    <t>4</t>
  </si>
  <si>
    <t>Calcula primas y totales</t>
  </si>
  <si>
    <t>5</t>
  </si>
  <si>
    <t>Genera propuesta por póliza</t>
  </si>
  <si>
    <t>PROPUESTA DE RENOVACIÓN - DEMO</t>
  </si>
  <si>
    <t>SEXO</t>
  </si>
  <si>
    <t>POLIZA_DEMO</t>
  </si>
  <si>
    <t>SUBGRUPO</t>
  </si>
  <si>
    <t>EMPRESA</t>
  </si>
  <si>
    <t>INC_MAX</t>
  </si>
  <si>
    <t>INC_MIN</t>
  </si>
  <si>
    <t>TOTAL_ASEGURADOS</t>
  </si>
  <si>
    <t>subgrupo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</si>
</sst>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€&quot;* #,##0.00_);_(&quot;€&quot;* \(#,##0.00\);_(&quot;€&quot;* &quot;-&quot;??_);_(@_)"/>
    <numFmt numFmtId="165" formatCode="_(* #,##0_);_(* \(#,##0\);_(* &quot;-&quot;??_);_(@_)"/>
    <numFmt numFmtId="166" formatCode="_-[$$-80A]* #,##0.00_-;\-[$$-80A]* #,##0.00_-;_-[$$-80A]* &quot;-&quot;??_-;_-@_-"/>
    <numFmt numFmtId="167" formatCode="\$#,##0.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FFFF"/>
      <name val="Calibri"/>
      <family val="2"/>
    </font>
    <font>
      <sz val="11"/>
      <color theme="1"/>
      <name val="Calibri"/>
      <family val="2"/>
    </font>
    <font>
      <b/>
      <sz val="11"/>
      <color rgb="FF1F4E78"/>
      <name val="Calibri"/>
      <family val="2"/>
    </font>
    <font>
      <b/>
      <sz val="16"/>
      <color rgb="FFFFFFFF"/>
      <name val="Calibri"/>
      <family val="2"/>
    </font>
    <font>
      <b/>
      <sz val="11"/>
      <color theme="1"/>
      <name val="Calibri"/>
      <family val="2"/>
    </font>
    <font>
      <sz val="20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0F4C81"/>
      </patternFill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E6EEF7"/>
      </patternFill>
    </fill>
    <fill>
      <patternFill patternType="solid">
        <fgColor rgb="FFFCE4D6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53">
    <xf numFmtId="0" fontId="0" fillId="0" borderId="0" xfId="0"/>
    <xf numFmtId="0" fontId="0" fillId="0" borderId="1" xfId="0" applyBorder="1"/>
    <xf numFmtId="0" fontId="1" fillId="4" borderId="1" xfId="3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1" fillId="2" borderId="1" xfId="1" applyBorder="1" applyAlignment="1">
      <alignment horizontal="left" vertical="center" indent="1"/>
    </xf>
    <xf numFmtId="0" fontId="1" fillId="2" borderId="1" xfId="1" applyBorder="1"/>
    <xf numFmtId="0" fontId="0" fillId="0" borderId="1" xfId="0" applyBorder="1" applyAlignment="1">
      <alignment horizontal="center"/>
    </xf>
    <xf numFmtId="165" fontId="1" fillId="4" borderId="1" xfId="3" applyNumberFormat="1" applyBorder="1" applyAlignment="1">
      <alignment horizontal="center" vertical="center"/>
    </xf>
    <xf numFmtId="166" fontId="0" fillId="0" borderId="1" xfId="4" applyNumberFormat="1" applyFont="1" applyBorder="1" applyAlignment="1">
      <alignment horizontal="center" vertical="center" wrapText="1"/>
    </xf>
    <xf numFmtId="0" fontId="4" fillId="5" borderId="0" xfId="6" applyFont="1" applyFill="1" applyAlignment="1">
      <alignment horizontal="center" vertical="center" wrapText="1"/>
    </xf>
    <xf numFmtId="14" fontId="4" fillId="5" borderId="0" xfId="6" applyNumberFormat="1" applyFont="1" applyFill="1" applyAlignment="1">
      <alignment horizontal="center" vertical="center" wrapText="1"/>
    </xf>
    <xf numFmtId="166" fontId="4" fillId="5" borderId="0" xfId="6" applyNumberFormat="1" applyFont="1" applyFill="1" applyAlignment="1">
      <alignment horizontal="center" vertical="center" wrapText="1"/>
    </xf>
    <xf numFmtId="167" fontId="4" fillId="5" borderId="0" xfId="6" applyNumberFormat="1" applyFont="1" applyFill="1" applyAlignment="1">
      <alignment horizontal="center" vertical="center" wrapText="1"/>
    </xf>
    <xf numFmtId="9" fontId="4" fillId="5" borderId="0" xfId="7" applyFont="1" applyFill="1" applyAlignment="1">
      <alignment horizontal="center" vertical="center" wrapText="1"/>
    </xf>
    <xf numFmtId="1" fontId="4" fillId="5" borderId="0" xfId="6" applyNumberFormat="1" applyFont="1" applyFill="1" applyAlignment="1">
      <alignment horizontal="center" vertical="center" wrapText="1"/>
    </xf>
    <xf numFmtId="0" fontId="5" fillId="0" borderId="0" xfId="6"/>
    <xf numFmtId="166" fontId="5" fillId="0" borderId="0" xfId="6" applyNumberFormat="1"/>
    <xf numFmtId="9" fontId="0" fillId="0" borderId="0" xfId="7" applyFont="1"/>
    <xf numFmtId="1" fontId="4" fillId="6" borderId="0" xfId="6" applyNumberFormat="1" applyFont="1" applyFill="1" applyAlignment="1">
      <alignment horizontal="center" vertical="center"/>
    </xf>
    <xf numFmtId="0" fontId="4" fillId="6" borderId="0" xfId="6" applyFont="1" applyFill="1" applyAlignment="1">
      <alignment horizontal="center" vertical="center"/>
    </xf>
    <xf numFmtId="3" fontId="4" fillId="6" borderId="0" xfId="6" applyNumberFormat="1" applyFont="1" applyFill="1" applyAlignment="1">
      <alignment horizontal="center" vertical="center"/>
    </xf>
    <xf numFmtId="0" fontId="6" fillId="7" borderId="0" xfId="6" applyFont="1" applyFill="1"/>
    <xf numFmtId="0" fontId="5" fillId="0" borderId="0" xfId="6" applyAlignment="1">
      <alignment wrapText="1"/>
    </xf>
    <xf numFmtId="0" fontId="4" fillId="5" borderId="0" xfId="0" applyFont="1" applyFill="1" applyAlignment="1">
      <alignment horizontal="center" vertical="center"/>
    </xf>
    <xf numFmtId="167" fontId="4" fillId="5" borderId="0" xfId="0" applyNumberFormat="1" applyFont="1" applyFill="1" applyAlignment="1">
      <alignment horizontal="center" vertical="center"/>
    </xf>
    <xf numFmtId="166" fontId="4" fillId="6" borderId="0" xfId="6" applyNumberFormat="1" applyFont="1" applyFill="1" applyAlignment="1">
      <alignment horizontal="center" vertical="center"/>
    </xf>
    <xf numFmtId="9" fontId="4" fillId="6" borderId="0" xfId="5" applyFont="1" applyFill="1" applyAlignment="1">
      <alignment horizontal="center" vertical="center"/>
    </xf>
    <xf numFmtId="9" fontId="5" fillId="0" borderId="0" xfId="5" applyFont="1"/>
    <xf numFmtId="14" fontId="0" fillId="0" borderId="0" xfId="0" applyNumberFormat="1"/>
    <xf numFmtId="166" fontId="0" fillId="0" borderId="0" xfId="0" applyNumberFormat="1"/>
    <xf numFmtId="9" fontId="0" fillId="0" borderId="0" xfId="0" applyNumberFormat="1"/>
    <xf numFmtId="9" fontId="0" fillId="0" borderId="0" xfId="5" applyFont="1"/>
    <xf numFmtId="0" fontId="8" fillId="9" borderId="0" xfId="0" applyFont="1" applyFill="1" applyAlignment="1">
      <alignment horizontal="center"/>
    </xf>
    <xf numFmtId="166" fontId="5" fillId="0" borderId="1" xfId="6" applyNumberFormat="1" applyBorder="1"/>
    <xf numFmtId="0" fontId="1" fillId="3" borderId="4" xfId="2" applyBorder="1" applyAlignment="1">
      <alignment horizontal="center"/>
    </xf>
    <xf numFmtId="0" fontId="1" fillId="3" borderId="6" xfId="2" applyBorder="1" applyAlignment="1">
      <alignment horizontal="center"/>
    </xf>
    <xf numFmtId="0" fontId="1" fillId="3" borderId="5" xfId="2" applyBorder="1" applyAlignment="1">
      <alignment horizontal="center"/>
    </xf>
    <xf numFmtId="0" fontId="7" fillId="5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/>
    </xf>
    <xf numFmtId="0" fontId="1" fillId="4" borderId="1" xfId="3" applyBorder="1" applyAlignment="1">
      <alignment horizontal="center" vertical="center"/>
    </xf>
    <xf numFmtId="0" fontId="1" fillId="4" borderId="2" xfId="3" applyBorder="1" applyAlignment="1">
      <alignment horizontal="center" vertical="center"/>
    </xf>
    <xf numFmtId="0" fontId="1" fillId="4" borderId="3" xfId="3" applyBorder="1" applyAlignment="1">
      <alignment horizontal="center" vertical="center"/>
    </xf>
    <xf numFmtId="166" fontId="0" fillId="0" borderId="4" xfId="4" applyNumberFormat="1" applyFont="1" applyBorder="1" applyAlignment="1">
      <alignment horizontal="center" vertical="center" wrapText="1"/>
    </xf>
    <xf numFmtId="166" fontId="0" fillId="0" borderId="5" xfId="4" applyNumberFormat="1" applyFont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4" borderId="1" xfId="3" applyBorder="1" applyAlignment="1">
      <alignment horizontal="center"/>
    </xf>
    <xf numFmtId="165" fontId="1" fillId="4" borderId="4" xfId="3" applyNumberFormat="1" applyBorder="1" applyAlignment="1">
      <alignment horizontal="center" vertical="center"/>
    </xf>
    <xf numFmtId="165" fontId="1" fillId="4" borderId="5" xfId="3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/>
    </xf>
  </cellXfs>
  <cellStyles count="8">
    <cellStyle name="20% - Énfasis1" xfId="1" builtinId="30"/>
    <cellStyle name="20% - Énfasis2" xfId="3" builtinId="34"/>
    <cellStyle name="60% - Énfasis1" xfId="2" builtinId="32"/>
    <cellStyle name="Moneda" xfId="4" builtinId="4"/>
    <cellStyle name="Normal" xfId="0" builtinId="0"/>
    <cellStyle name="Normal 2" xfId="6" xr:uid="{A4FEDA52-D653-42EC-8848-11C2060C223F}"/>
    <cellStyle name="Porcentaje" xfId="5" builtinId="5"/>
    <cellStyle name="Porcentaje 2" xfId="7" xr:uid="{F3ED5F37-573D-46D2-B315-D02DEED217F6}"/>
  </cellStyles>
  <dxfs count="5">
    <dxf>
      <numFmt numFmtId="166" formatCode="_-[$$-80A]* #,##0.00_-;\-[$$-80A]* #,##0.00_-;_-[$$-80A]* &quot;-&quot;??_-;_-@_-"/>
    </dxf>
    <dxf>
      <numFmt numFmtId="166" formatCode="_-[$$-80A]* #,##0.00_-;\-[$$-80A]* #,##0.00_-;_-[$$-80A]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</dxf>
    <dxf>
      <numFmt numFmtId="166" formatCode="_-[$$-80A]* #,##0.00_-;\-[$$-80A]* #,##0.00_-;_-[$$-80A]* &quot;-&quot;??_-;_-@_-"/>
    </dxf>
    <dxf>
      <numFmt numFmtId="166" formatCode="_-[$$-80A]* #,##0.00_-;\-[$$-80A]* #,##0.00_-;_-[$$-80A]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755650</xdr:colOff>
          <xdr:row>3</xdr:row>
          <xdr:rowOff>12700</xdr:rowOff>
        </xdr:from>
        <xdr:to>
          <xdr:col>7</xdr:col>
          <xdr:colOff>647700</xdr:colOff>
          <xdr:row>5</xdr:row>
          <xdr:rowOff>38100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88900</xdr:rowOff>
        </xdr:from>
        <xdr:to>
          <xdr:col>6</xdr:col>
          <xdr:colOff>177800</xdr:colOff>
          <xdr:row>5</xdr:row>
          <xdr:rowOff>12700</xdr:rowOff>
        </xdr:to>
        <xdr:sp macro="" textlink="">
          <xdr:nvSpPr>
            <xdr:cNvPr id="1028" name="ComboBox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260350</xdr:colOff>
          <xdr:row>1</xdr:row>
          <xdr:rowOff>38100</xdr:rowOff>
        </xdr:from>
        <xdr:to>
          <xdr:col>3</xdr:col>
          <xdr:colOff>577850</xdr:colOff>
          <xdr:row>3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MX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DDE516-C58D-40E4-8BDF-0B1CAE238ED5}" name="tblTarifasPoliza" displayName="tblTarifasPoliza" ref="A1:K267" dataCellStyle="Normal 2">
  <tableColumns count="11">
    <tableColumn id="1" xr3:uid="{F3F8BAD5-8DBC-438A-B877-ABF3D264B4C1}" name="POLIZA_DEMO" dataCellStyle="Normal 2"/>
    <tableColumn id="2" xr3:uid="{28C7E67F-B7E0-4E55-B833-D6546E77723C}" name="EMPRESA" dataCellStyle="Normal 2"/>
    <tableColumn id="3" xr3:uid="{65CB8189-4A69-4EC7-9328-1BED1AE64F73}" name="subgrupo" dataCellStyle="Normal 2"/>
    <tableColumn id="4" xr3:uid="{EBA8D667-84E6-41E0-A95F-978BD4D363AF}" name="RANGO_EDAD" dataCellStyle="Normal 2"/>
    <tableColumn id="5" xr3:uid="{9BF2927A-E8D9-4836-9ECD-FF9F5EE0F068}" name="EDAD_DESDE" dataCellStyle="Normal 2"/>
    <tableColumn id="6" xr3:uid="{2EC702D6-ACB6-4144-B0D4-AEFA39ABEF63}" name="EDAD_HASTA" dataCellStyle="Normal 2"/>
    <tableColumn id="7" xr3:uid="{08628B6C-CD6D-4DC0-A099-4BEB358E5FF2}" name="TARIFA_H_BASE" dataDxfId="4" dataCellStyle="Normal 2"/>
    <tableColumn id="8" xr3:uid="{A4BF0A82-5884-4194-ADE1-D14FC5CB5C7A}" name="TARIFA_M_BASE" dataDxfId="3" dataCellStyle="Normal 2"/>
    <tableColumn id="9" xr3:uid="{D57FB6FA-CED6-4B6C-93F8-F060F98393E4}" name="INCREMENTO_MAX" dataDxfId="2" dataCellStyle="Porcentaje"/>
    <tableColumn id="10" xr3:uid="{7B8D6A23-3C5F-46CC-957B-2852BD17A85D}" name="TARIFA_H_FINAL" dataDxfId="1" dataCellStyle="Normal 2"/>
    <tableColumn id="11" xr3:uid="{D1D218D2-5E4F-4B6F-AD5D-04F40C2802E3}" name="TARIFA_M_FINAL" dataDxfId="0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A229F16-3BED-4D15-896C-F4ACA1714344}" name="TablaTarifas" displayName="TablaTarifas" ref="B2:F16">
  <tableColumns count="5">
    <tableColumn id="1" xr3:uid="{77B083E0-007F-4ABD-BCEF-BE77210628A2}" name="RANGO_EDAD"/>
    <tableColumn id="2" xr3:uid="{0406CEE0-A50B-414C-88B9-544B42FB7A0E}" name="EDAD_DESDE"/>
    <tableColumn id="3" xr3:uid="{F9263B87-FAEE-4D2B-9386-CDED379A2149}" name="EDAD_HASTA"/>
    <tableColumn id="4" xr3:uid="{672BCE66-85A8-43D4-A7E8-3849D876D553}" name="TARIFA_HOMBRE"/>
    <tableColumn id="5" xr3:uid="{86DD9E8C-1E95-4816-896A-9136D2FBD81A}" name="TARIFA_MUJ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B946A-89B7-4AA3-A1C3-9E3A3F0E9CB8}">
  <sheetPr codeName="Hoja4"/>
  <dimension ref="A1:O72"/>
  <sheetViews>
    <sheetView topLeftCell="B1" workbookViewId="0">
      <selection activeCell="N8" sqref="N8"/>
    </sheetView>
  </sheetViews>
  <sheetFormatPr baseColWidth="10" defaultRowHeight="14.5" x14ac:dyDescent="0.35"/>
  <cols>
    <col min="1" max="1" width="12.6328125" style="17" hidden="1" customWidth="1"/>
    <col min="2" max="2" width="12.6328125" style="17" customWidth="1"/>
    <col min="3" max="3" width="9.08984375" style="17" bestFit="1" customWidth="1"/>
    <col min="4" max="4" width="16" style="17" customWidth="1"/>
    <col min="5" max="5" width="12" style="17" hidden="1" customWidth="1"/>
    <col min="6" max="6" width="16.54296875" style="17" hidden="1" customWidth="1"/>
    <col min="7" max="7" width="16.6328125" style="17" hidden="1" customWidth="1"/>
    <col min="8" max="8" width="17.26953125" style="17" hidden="1" customWidth="1"/>
    <col min="9" max="9" width="11.6328125" style="17" hidden="1" customWidth="1"/>
    <col min="10" max="10" width="17.90625" style="18" hidden="1" customWidth="1"/>
    <col min="11" max="11" width="31.08984375" style="17" hidden="1" customWidth="1"/>
    <col min="12" max="12" width="16.90625" style="19" hidden="1" customWidth="1"/>
    <col min="13" max="13" width="17.26953125" style="19" customWidth="1"/>
    <col min="14" max="14" width="16.81640625" style="19" customWidth="1"/>
    <col min="15" max="15" width="6.453125" style="17" customWidth="1"/>
    <col min="16" max="16384" width="10.90625" style="17"/>
  </cols>
  <sheetData>
    <row r="1" spans="1:15" ht="14.25" customHeight="1" x14ac:dyDescent="0.35">
      <c r="A1" s="11" t="s">
        <v>28</v>
      </c>
      <c r="B1" s="11" t="s">
        <v>83</v>
      </c>
      <c r="C1" s="11" t="s">
        <v>84</v>
      </c>
      <c r="D1" s="11" t="s">
        <v>85</v>
      </c>
      <c r="E1" s="11" t="s">
        <v>82</v>
      </c>
      <c r="F1" s="11" t="s">
        <v>43</v>
      </c>
      <c r="G1" s="11" t="s">
        <v>44</v>
      </c>
      <c r="H1" s="11" t="s">
        <v>45</v>
      </c>
      <c r="I1" s="12" t="s">
        <v>39</v>
      </c>
      <c r="J1" s="13" t="s">
        <v>40</v>
      </c>
      <c r="K1" s="14" t="s">
        <v>41</v>
      </c>
      <c r="L1" s="15" t="s">
        <v>42</v>
      </c>
      <c r="M1" s="15" t="s">
        <v>86</v>
      </c>
      <c r="N1" s="15" t="s">
        <v>87</v>
      </c>
      <c r="O1" s="16" t="s">
        <v>88</v>
      </c>
    </row>
    <row r="2" spans="1:15" x14ac:dyDescent="0.35">
      <c r="A2" s="17">
        <v>1111</v>
      </c>
      <c r="B2" s="17">
        <v>1095</v>
      </c>
      <c r="C2" s="17">
        <v>1</v>
      </c>
      <c r="D2" s="17" t="s">
        <v>31</v>
      </c>
      <c r="E2" s="17" t="s">
        <v>29</v>
      </c>
      <c r="F2" s="17">
        <v>15</v>
      </c>
      <c r="G2" s="17">
        <v>19</v>
      </c>
      <c r="H2" s="17" t="s">
        <v>8</v>
      </c>
      <c r="I2" s="17">
        <v>46204</v>
      </c>
      <c r="J2" s="18">
        <v>20000</v>
      </c>
      <c r="K2" s="17">
        <v>7000</v>
      </c>
      <c r="L2" s="19">
        <f t="shared" ref="L2:L65" si="0">IFERROR(K2/J2,0)</f>
        <v>0.35</v>
      </c>
      <c r="M2" s="19">
        <v>0.03</v>
      </c>
      <c r="N2" s="19">
        <v>0</v>
      </c>
      <c r="O2" s="17">
        <v>6</v>
      </c>
    </row>
    <row r="3" spans="1:15" x14ac:dyDescent="0.35">
      <c r="A3" s="17">
        <v>1111</v>
      </c>
      <c r="B3" s="17">
        <v>1095</v>
      </c>
      <c r="C3" s="17">
        <v>1</v>
      </c>
      <c r="D3" s="17" t="s">
        <v>31</v>
      </c>
      <c r="E3" s="17" t="s">
        <v>29</v>
      </c>
      <c r="F3" s="17">
        <v>25</v>
      </c>
      <c r="G3" s="17">
        <v>29</v>
      </c>
      <c r="H3" s="17" t="s">
        <v>10</v>
      </c>
      <c r="I3" s="17">
        <v>46204</v>
      </c>
      <c r="J3" s="18">
        <v>20000</v>
      </c>
      <c r="K3" s="17">
        <v>7000</v>
      </c>
      <c r="L3" s="19">
        <f t="shared" si="0"/>
        <v>0.35</v>
      </c>
      <c r="M3" s="19">
        <v>0.03</v>
      </c>
      <c r="N3" s="19">
        <v>0</v>
      </c>
      <c r="O3" s="17">
        <v>5</v>
      </c>
    </row>
    <row r="4" spans="1:15" x14ac:dyDescent="0.35">
      <c r="A4" s="17">
        <v>1111</v>
      </c>
      <c r="B4" s="17">
        <v>1095</v>
      </c>
      <c r="C4" s="17">
        <v>1</v>
      </c>
      <c r="D4" s="17" t="s">
        <v>31</v>
      </c>
      <c r="E4" s="17" t="s">
        <v>30</v>
      </c>
      <c r="F4" s="17">
        <v>40</v>
      </c>
      <c r="G4" s="17">
        <v>44</v>
      </c>
      <c r="H4" s="17" t="s">
        <v>13</v>
      </c>
      <c r="I4" s="17">
        <v>46204</v>
      </c>
      <c r="J4" s="18">
        <v>20000</v>
      </c>
      <c r="K4" s="17">
        <v>7000</v>
      </c>
      <c r="L4" s="19">
        <f t="shared" si="0"/>
        <v>0.35</v>
      </c>
      <c r="M4" s="19">
        <v>0.03</v>
      </c>
      <c r="N4" s="19">
        <v>0</v>
      </c>
      <c r="O4" s="17">
        <v>1</v>
      </c>
    </row>
    <row r="5" spans="1:15" x14ac:dyDescent="0.35">
      <c r="A5" s="17">
        <v>1111</v>
      </c>
      <c r="B5" s="17">
        <v>1234</v>
      </c>
      <c r="C5" s="17">
        <v>1</v>
      </c>
      <c r="D5" s="17" t="s">
        <v>32</v>
      </c>
      <c r="E5" s="17" t="s">
        <v>29</v>
      </c>
      <c r="F5" s="17">
        <v>0</v>
      </c>
      <c r="G5" s="17">
        <v>4</v>
      </c>
      <c r="H5" s="17" t="s">
        <v>5</v>
      </c>
      <c r="I5" s="17">
        <v>46204</v>
      </c>
      <c r="J5" s="18">
        <v>23750</v>
      </c>
      <c r="K5" s="17">
        <v>11875</v>
      </c>
      <c r="L5" s="19">
        <f t="shared" si="0"/>
        <v>0.5</v>
      </c>
      <c r="M5" s="19">
        <v>0.05</v>
      </c>
      <c r="N5" s="19">
        <v>0</v>
      </c>
      <c r="O5" s="17">
        <v>3</v>
      </c>
    </row>
    <row r="6" spans="1:15" x14ac:dyDescent="0.35">
      <c r="A6" s="17">
        <v>1111</v>
      </c>
      <c r="B6" s="17">
        <v>1234</v>
      </c>
      <c r="C6" s="17">
        <v>1</v>
      </c>
      <c r="D6" s="17" t="s">
        <v>32</v>
      </c>
      <c r="E6" s="17" t="s">
        <v>29</v>
      </c>
      <c r="F6" s="17">
        <v>30</v>
      </c>
      <c r="G6" s="17">
        <v>34</v>
      </c>
      <c r="H6" s="17" t="s">
        <v>11</v>
      </c>
      <c r="I6" s="17">
        <v>46204</v>
      </c>
      <c r="J6" s="18">
        <v>23750</v>
      </c>
      <c r="K6" s="17">
        <v>11875</v>
      </c>
      <c r="L6" s="19">
        <f t="shared" si="0"/>
        <v>0.5</v>
      </c>
      <c r="M6" s="19">
        <v>0.05</v>
      </c>
      <c r="N6" s="19">
        <v>0</v>
      </c>
      <c r="O6" s="17">
        <v>1</v>
      </c>
    </row>
    <row r="7" spans="1:15" x14ac:dyDescent="0.35">
      <c r="A7" s="17">
        <v>1111</v>
      </c>
      <c r="B7" s="17">
        <v>1234</v>
      </c>
      <c r="C7" s="17">
        <v>1</v>
      </c>
      <c r="D7" s="17" t="s">
        <v>32</v>
      </c>
      <c r="E7" s="17" t="s">
        <v>30</v>
      </c>
      <c r="F7" s="17">
        <v>35</v>
      </c>
      <c r="G7" s="17">
        <v>39</v>
      </c>
      <c r="H7" s="17" t="s">
        <v>12</v>
      </c>
      <c r="I7" s="17">
        <v>46204</v>
      </c>
      <c r="J7" s="18">
        <v>23750</v>
      </c>
      <c r="K7" s="17">
        <v>11875</v>
      </c>
      <c r="L7" s="19">
        <f t="shared" si="0"/>
        <v>0.5</v>
      </c>
      <c r="M7" s="19">
        <v>0.05</v>
      </c>
      <c r="N7" s="19">
        <v>0</v>
      </c>
      <c r="O7" s="17">
        <v>1</v>
      </c>
    </row>
    <row r="8" spans="1:15" x14ac:dyDescent="0.35">
      <c r="A8" s="17">
        <v>1111</v>
      </c>
      <c r="B8" s="17">
        <v>1234</v>
      </c>
      <c r="C8" s="17">
        <v>2</v>
      </c>
      <c r="D8" s="17" t="s">
        <v>32</v>
      </c>
      <c r="E8" s="17" t="s">
        <v>29</v>
      </c>
      <c r="F8" s="17">
        <v>5</v>
      </c>
      <c r="G8" s="17">
        <v>9</v>
      </c>
      <c r="H8" s="17" t="s">
        <v>6</v>
      </c>
      <c r="I8" s="17">
        <v>46204</v>
      </c>
      <c r="J8" s="18">
        <v>23750</v>
      </c>
      <c r="K8" s="17">
        <v>11875</v>
      </c>
      <c r="L8" s="19">
        <f t="shared" si="0"/>
        <v>0.5</v>
      </c>
      <c r="M8" s="19">
        <v>0.05</v>
      </c>
      <c r="N8" s="19">
        <v>0</v>
      </c>
      <c r="O8" s="17">
        <v>1</v>
      </c>
    </row>
    <row r="9" spans="1:15" x14ac:dyDescent="0.35">
      <c r="A9" s="17">
        <v>1111</v>
      </c>
      <c r="B9" s="17">
        <v>1234</v>
      </c>
      <c r="C9" s="17">
        <v>2</v>
      </c>
      <c r="D9" s="17" t="s">
        <v>32</v>
      </c>
      <c r="E9" s="17" t="s">
        <v>30</v>
      </c>
      <c r="F9" s="17">
        <v>10</v>
      </c>
      <c r="G9" s="17">
        <v>14</v>
      </c>
      <c r="H9" s="17" t="s">
        <v>7</v>
      </c>
      <c r="I9" s="17">
        <v>46204</v>
      </c>
      <c r="J9" s="18">
        <v>23750</v>
      </c>
      <c r="K9" s="17">
        <v>11875</v>
      </c>
      <c r="L9" s="19">
        <f t="shared" si="0"/>
        <v>0.5</v>
      </c>
      <c r="M9" s="19">
        <v>0.05</v>
      </c>
      <c r="N9" s="19">
        <v>0</v>
      </c>
      <c r="O9" s="17">
        <v>1</v>
      </c>
    </row>
    <row r="10" spans="1:15" x14ac:dyDescent="0.35">
      <c r="A10" s="17">
        <v>1111</v>
      </c>
      <c r="B10" s="17">
        <v>1234</v>
      </c>
      <c r="C10" s="17">
        <v>3</v>
      </c>
      <c r="D10" s="17" t="s">
        <v>32</v>
      </c>
      <c r="E10" s="17" t="s">
        <v>29</v>
      </c>
      <c r="F10" s="17">
        <v>20</v>
      </c>
      <c r="G10" s="17">
        <v>24</v>
      </c>
      <c r="H10" s="17" t="s">
        <v>9</v>
      </c>
      <c r="I10" s="17">
        <v>46204</v>
      </c>
      <c r="J10" s="18">
        <v>23750</v>
      </c>
      <c r="K10" s="17">
        <v>11875</v>
      </c>
      <c r="L10" s="19">
        <f t="shared" si="0"/>
        <v>0.5</v>
      </c>
      <c r="M10" s="19">
        <v>0.05</v>
      </c>
      <c r="N10" s="19">
        <v>0</v>
      </c>
      <c r="O10" s="17">
        <v>2</v>
      </c>
    </row>
    <row r="11" spans="1:15" x14ac:dyDescent="0.35">
      <c r="A11" s="17">
        <v>1111</v>
      </c>
      <c r="B11" s="17">
        <v>1234</v>
      </c>
      <c r="C11" s="17">
        <v>3</v>
      </c>
      <c r="D11" s="17" t="s">
        <v>32</v>
      </c>
      <c r="E11" s="17" t="s">
        <v>29</v>
      </c>
      <c r="F11" s="17">
        <v>60</v>
      </c>
      <c r="G11" s="17">
        <v>64</v>
      </c>
      <c r="H11" s="17" t="s">
        <v>17</v>
      </c>
      <c r="I11" s="17">
        <v>46204</v>
      </c>
      <c r="J11" s="18">
        <v>23750</v>
      </c>
      <c r="K11" s="17">
        <v>11875</v>
      </c>
      <c r="L11" s="19">
        <f t="shared" si="0"/>
        <v>0.5</v>
      </c>
      <c r="M11" s="19">
        <v>0.05</v>
      </c>
      <c r="N11" s="19">
        <v>0</v>
      </c>
      <c r="O11" s="17">
        <v>2</v>
      </c>
    </row>
    <row r="12" spans="1:15" x14ac:dyDescent="0.35">
      <c r="A12" s="17">
        <v>1111</v>
      </c>
      <c r="B12" s="17">
        <v>1265</v>
      </c>
      <c r="C12" s="17">
        <v>1</v>
      </c>
      <c r="D12" s="17" t="s">
        <v>33</v>
      </c>
      <c r="E12" s="17" t="s">
        <v>29</v>
      </c>
      <c r="F12" s="17">
        <v>5</v>
      </c>
      <c r="G12" s="17">
        <v>9</v>
      </c>
      <c r="H12" s="17" t="s">
        <v>6</v>
      </c>
      <c r="I12" s="17">
        <v>46204</v>
      </c>
      <c r="J12" s="18">
        <v>27500</v>
      </c>
      <c r="K12" s="17">
        <v>17875</v>
      </c>
      <c r="L12" s="19">
        <f t="shared" si="0"/>
        <v>0.65</v>
      </c>
      <c r="M12" s="19">
        <v>0.16</v>
      </c>
      <c r="N12" s="19">
        <v>0.05</v>
      </c>
      <c r="O12" s="17">
        <v>4</v>
      </c>
    </row>
    <row r="13" spans="1:15" x14ac:dyDescent="0.35">
      <c r="A13" s="17">
        <v>1111</v>
      </c>
      <c r="B13" s="17">
        <v>1265</v>
      </c>
      <c r="C13" s="17">
        <v>1</v>
      </c>
      <c r="D13" s="17" t="s">
        <v>33</v>
      </c>
      <c r="E13" s="17" t="s">
        <v>29</v>
      </c>
      <c r="F13" s="17">
        <v>10</v>
      </c>
      <c r="G13" s="17">
        <v>14</v>
      </c>
      <c r="H13" s="17" t="s">
        <v>7</v>
      </c>
      <c r="I13" s="17">
        <v>46204</v>
      </c>
      <c r="J13" s="18">
        <v>27500</v>
      </c>
      <c r="K13" s="17">
        <v>17875</v>
      </c>
      <c r="L13" s="19">
        <f t="shared" si="0"/>
        <v>0.65</v>
      </c>
      <c r="M13" s="19">
        <v>0.16</v>
      </c>
      <c r="N13" s="19">
        <v>0.05</v>
      </c>
      <c r="O13" s="17">
        <v>3</v>
      </c>
    </row>
    <row r="14" spans="1:15" x14ac:dyDescent="0.35">
      <c r="A14" s="17">
        <v>1111</v>
      </c>
      <c r="B14" s="17">
        <v>1265</v>
      </c>
      <c r="C14" s="17">
        <v>1</v>
      </c>
      <c r="D14" s="17" t="s">
        <v>33</v>
      </c>
      <c r="E14" s="17" t="s">
        <v>29</v>
      </c>
      <c r="F14" s="17">
        <v>30</v>
      </c>
      <c r="G14" s="17">
        <v>39</v>
      </c>
      <c r="H14" s="17" t="s">
        <v>47</v>
      </c>
      <c r="I14" s="17">
        <v>46204</v>
      </c>
      <c r="J14" s="18">
        <v>27500</v>
      </c>
      <c r="K14" s="17">
        <v>17875</v>
      </c>
      <c r="L14" s="19">
        <f t="shared" si="0"/>
        <v>0.65</v>
      </c>
      <c r="M14" s="19">
        <v>0.16</v>
      </c>
      <c r="N14" s="19">
        <v>0.05</v>
      </c>
      <c r="O14" s="17">
        <v>7</v>
      </c>
    </row>
    <row r="15" spans="1:15" x14ac:dyDescent="0.35">
      <c r="A15" s="17">
        <v>1111</v>
      </c>
      <c r="B15" s="17">
        <v>1265</v>
      </c>
      <c r="C15" s="17">
        <v>1</v>
      </c>
      <c r="D15" s="17" t="s">
        <v>33</v>
      </c>
      <c r="E15" s="17" t="s">
        <v>30</v>
      </c>
      <c r="F15" s="17">
        <v>0</v>
      </c>
      <c r="G15" s="17">
        <v>5</v>
      </c>
      <c r="H15" s="17" t="s">
        <v>48</v>
      </c>
      <c r="I15" s="17">
        <v>46204</v>
      </c>
      <c r="J15" s="18">
        <v>27500</v>
      </c>
      <c r="K15" s="17">
        <v>17875</v>
      </c>
      <c r="L15" s="19">
        <f t="shared" si="0"/>
        <v>0.65</v>
      </c>
      <c r="M15" s="19">
        <v>0.16</v>
      </c>
      <c r="N15" s="19">
        <v>0.05</v>
      </c>
      <c r="O15" s="17">
        <v>3</v>
      </c>
    </row>
    <row r="16" spans="1:15" x14ac:dyDescent="0.35">
      <c r="A16" s="17">
        <v>1111</v>
      </c>
      <c r="B16" s="17">
        <v>1265</v>
      </c>
      <c r="C16" s="17">
        <v>1</v>
      </c>
      <c r="D16" s="17" t="s">
        <v>33</v>
      </c>
      <c r="E16" s="17" t="s">
        <v>30</v>
      </c>
      <c r="F16" s="17">
        <v>20</v>
      </c>
      <c r="G16" s="17">
        <v>24</v>
      </c>
      <c r="H16" s="17" t="s">
        <v>9</v>
      </c>
      <c r="I16" s="17">
        <v>46204</v>
      </c>
      <c r="J16" s="18">
        <v>27500</v>
      </c>
      <c r="K16" s="17">
        <v>17875</v>
      </c>
      <c r="L16" s="19">
        <f t="shared" si="0"/>
        <v>0.65</v>
      </c>
      <c r="M16" s="19">
        <v>0.16</v>
      </c>
      <c r="N16" s="19">
        <v>0.05</v>
      </c>
      <c r="O16" s="17">
        <v>5</v>
      </c>
    </row>
    <row r="17" spans="1:15" x14ac:dyDescent="0.35">
      <c r="A17" s="17">
        <v>1111</v>
      </c>
      <c r="B17" s="17">
        <v>1265</v>
      </c>
      <c r="C17" s="17">
        <v>2</v>
      </c>
      <c r="D17" s="17" t="s">
        <v>33</v>
      </c>
      <c r="E17" s="17" t="s">
        <v>29</v>
      </c>
      <c r="F17" s="17">
        <v>30</v>
      </c>
      <c r="G17" s="17">
        <v>34</v>
      </c>
      <c r="H17" s="17" t="s">
        <v>11</v>
      </c>
      <c r="I17" s="17">
        <v>46204</v>
      </c>
      <c r="J17" s="18">
        <v>27500</v>
      </c>
      <c r="K17" s="17">
        <v>17875</v>
      </c>
      <c r="L17" s="19">
        <f t="shared" si="0"/>
        <v>0.65</v>
      </c>
      <c r="M17" s="19">
        <v>0.16</v>
      </c>
      <c r="N17" s="19">
        <v>0.05</v>
      </c>
      <c r="O17" s="17">
        <v>7</v>
      </c>
    </row>
    <row r="18" spans="1:15" x14ac:dyDescent="0.35">
      <c r="A18" s="17">
        <v>1111</v>
      </c>
      <c r="B18" s="17">
        <v>1265</v>
      </c>
      <c r="C18" s="17">
        <v>2</v>
      </c>
      <c r="D18" s="17" t="s">
        <v>33</v>
      </c>
      <c r="E18" s="17" t="s">
        <v>30</v>
      </c>
      <c r="F18" s="17">
        <v>40</v>
      </c>
      <c r="G18" s="17">
        <v>44</v>
      </c>
      <c r="H18" s="17" t="s">
        <v>13</v>
      </c>
      <c r="I18" s="17">
        <v>46204</v>
      </c>
      <c r="J18" s="18">
        <v>27500</v>
      </c>
      <c r="K18" s="17">
        <v>17875</v>
      </c>
      <c r="L18" s="19">
        <f t="shared" si="0"/>
        <v>0.65</v>
      </c>
      <c r="M18" s="19">
        <v>0.16</v>
      </c>
      <c r="N18" s="19">
        <v>0.05</v>
      </c>
      <c r="O18" s="17">
        <v>1</v>
      </c>
    </row>
    <row r="19" spans="1:15" x14ac:dyDescent="0.35">
      <c r="A19" s="17">
        <v>1111</v>
      </c>
      <c r="B19" s="17">
        <v>1265</v>
      </c>
      <c r="C19" s="17">
        <v>2</v>
      </c>
      <c r="D19" s="17" t="s">
        <v>33</v>
      </c>
      <c r="E19" s="17" t="s">
        <v>30</v>
      </c>
      <c r="F19" s="17">
        <v>45</v>
      </c>
      <c r="G19" s="17">
        <v>49</v>
      </c>
      <c r="H19" s="17" t="s">
        <v>14</v>
      </c>
      <c r="I19" s="17">
        <v>46204</v>
      </c>
      <c r="J19" s="18">
        <v>27500</v>
      </c>
      <c r="K19" s="17">
        <v>17875</v>
      </c>
      <c r="L19" s="19">
        <f t="shared" si="0"/>
        <v>0.65</v>
      </c>
      <c r="M19" s="19">
        <v>0.16</v>
      </c>
      <c r="N19" s="19">
        <v>0.05</v>
      </c>
      <c r="O19" s="17">
        <v>1</v>
      </c>
    </row>
    <row r="20" spans="1:15" x14ac:dyDescent="0.35">
      <c r="A20" s="17">
        <v>1111</v>
      </c>
      <c r="B20" s="17">
        <v>1265</v>
      </c>
      <c r="C20" s="17">
        <v>2</v>
      </c>
      <c r="D20" s="17" t="s">
        <v>33</v>
      </c>
      <c r="E20" s="17" t="s">
        <v>30</v>
      </c>
      <c r="F20" s="17">
        <v>50</v>
      </c>
      <c r="G20" s="17">
        <v>54</v>
      </c>
      <c r="H20" s="17" t="s">
        <v>15</v>
      </c>
      <c r="I20" s="17">
        <v>46204</v>
      </c>
      <c r="J20" s="18">
        <v>27500</v>
      </c>
      <c r="K20" s="17">
        <v>17875</v>
      </c>
      <c r="L20" s="19">
        <f t="shared" si="0"/>
        <v>0.65</v>
      </c>
      <c r="M20" s="19">
        <v>0.16</v>
      </c>
      <c r="N20" s="19">
        <v>0.05</v>
      </c>
      <c r="O20" s="17">
        <v>1</v>
      </c>
    </row>
    <row r="21" spans="1:15" x14ac:dyDescent="0.35">
      <c r="A21" s="17">
        <v>1111</v>
      </c>
      <c r="B21" s="17">
        <v>1320</v>
      </c>
      <c r="C21" s="17">
        <v>1</v>
      </c>
      <c r="D21" s="17" t="s">
        <v>31</v>
      </c>
      <c r="E21" s="17" t="s">
        <v>29</v>
      </c>
      <c r="F21" s="17">
        <v>5</v>
      </c>
      <c r="G21" s="17">
        <v>9</v>
      </c>
      <c r="H21" s="17" t="s">
        <v>6</v>
      </c>
      <c r="I21" s="17">
        <v>46204</v>
      </c>
      <c r="J21" s="18">
        <v>31250</v>
      </c>
      <c r="K21" s="17">
        <v>25000</v>
      </c>
      <c r="L21" s="19">
        <f t="shared" si="0"/>
        <v>0.8</v>
      </c>
      <c r="M21" s="19">
        <v>0.25</v>
      </c>
      <c r="N21" s="19">
        <v>0.12</v>
      </c>
      <c r="O21" s="17">
        <v>1</v>
      </c>
    </row>
    <row r="22" spans="1:15" x14ac:dyDescent="0.35">
      <c r="A22" s="17">
        <v>1111</v>
      </c>
      <c r="B22" s="17">
        <v>1320</v>
      </c>
      <c r="C22" s="17">
        <v>1</v>
      </c>
      <c r="D22" s="17" t="s">
        <v>31</v>
      </c>
      <c r="E22" s="17" t="s">
        <v>30</v>
      </c>
      <c r="F22" s="17">
        <v>20</v>
      </c>
      <c r="G22" s="17">
        <v>24</v>
      </c>
      <c r="H22" s="17" t="s">
        <v>9</v>
      </c>
      <c r="I22" s="17">
        <v>46204</v>
      </c>
      <c r="J22" s="18">
        <v>31250</v>
      </c>
      <c r="K22" s="17">
        <v>25000</v>
      </c>
      <c r="L22" s="19">
        <f t="shared" si="0"/>
        <v>0.8</v>
      </c>
      <c r="M22" s="19">
        <v>0.25</v>
      </c>
      <c r="N22" s="19">
        <v>0.12</v>
      </c>
      <c r="O22" s="17">
        <v>1</v>
      </c>
    </row>
    <row r="23" spans="1:15" x14ac:dyDescent="0.35">
      <c r="A23" s="17">
        <v>1111</v>
      </c>
      <c r="B23" s="17">
        <v>1320</v>
      </c>
      <c r="C23" s="17">
        <v>1</v>
      </c>
      <c r="D23" s="17" t="s">
        <v>31</v>
      </c>
      <c r="E23" s="17" t="s">
        <v>30</v>
      </c>
      <c r="F23" s="17">
        <v>30</v>
      </c>
      <c r="G23" s="17">
        <v>34</v>
      </c>
      <c r="H23" s="17" t="s">
        <v>11</v>
      </c>
      <c r="I23" s="17">
        <v>46204</v>
      </c>
      <c r="J23" s="18">
        <v>31250</v>
      </c>
      <c r="K23" s="17">
        <v>25000</v>
      </c>
      <c r="L23" s="19">
        <f t="shared" si="0"/>
        <v>0.8</v>
      </c>
      <c r="M23" s="19">
        <v>0.25</v>
      </c>
      <c r="N23" s="19">
        <v>0.12</v>
      </c>
      <c r="O23" s="17">
        <v>1</v>
      </c>
    </row>
    <row r="24" spans="1:15" x14ac:dyDescent="0.35">
      <c r="A24" s="17">
        <v>1111</v>
      </c>
      <c r="B24" s="17">
        <v>1320</v>
      </c>
      <c r="C24" s="17">
        <v>1</v>
      </c>
      <c r="D24" s="17" t="s">
        <v>31</v>
      </c>
      <c r="E24" s="17" t="s">
        <v>30</v>
      </c>
      <c r="F24" s="17">
        <v>45</v>
      </c>
      <c r="G24" s="17">
        <v>49</v>
      </c>
      <c r="H24" s="17" t="s">
        <v>14</v>
      </c>
      <c r="I24" s="17">
        <v>46204</v>
      </c>
      <c r="J24" s="18">
        <v>31250</v>
      </c>
      <c r="K24" s="17">
        <v>25000</v>
      </c>
      <c r="L24" s="19">
        <f t="shared" si="0"/>
        <v>0.8</v>
      </c>
      <c r="M24" s="19">
        <v>0.25</v>
      </c>
      <c r="N24" s="19">
        <v>0.12</v>
      </c>
      <c r="O24" s="17">
        <v>4</v>
      </c>
    </row>
    <row r="25" spans="1:15" x14ac:dyDescent="0.35">
      <c r="A25" s="17">
        <v>1111</v>
      </c>
      <c r="B25" s="17">
        <v>1457</v>
      </c>
      <c r="C25" s="17">
        <v>1</v>
      </c>
      <c r="D25" s="17" t="s">
        <v>33</v>
      </c>
      <c r="E25" s="17" t="s">
        <v>29</v>
      </c>
      <c r="F25" s="17">
        <v>4</v>
      </c>
      <c r="G25" s="17">
        <v>5</v>
      </c>
      <c r="H25" s="17" t="s">
        <v>49</v>
      </c>
      <c r="I25" s="17">
        <v>46204</v>
      </c>
      <c r="J25" s="18">
        <v>35000</v>
      </c>
      <c r="K25" s="17">
        <v>33250</v>
      </c>
      <c r="L25" s="19">
        <f t="shared" si="0"/>
        <v>0.95</v>
      </c>
      <c r="M25" s="19">
        <v>0.42</v>
      </c>
      <c r="N25" s="19">
        <v>0.2</v>
      </c>
      <c r="O25" s="17">
        <v>2</v>
      </c>
    </row>
    <row r="26" spans="1:15" x14ac:dyDescent="0.35">
      <c r="A26" s="17">
        <v>1111</v>
      </c>
      <c r="B26" s="17">
        <v>1457</v>
      </c>
      <c r="C26" s="17">
        <v>1</v>
      </c>
      <c r="D26" s="17" t="s">
        <v>33</v>
      </c>
      <c r="E26" s="17" t="s">
        <v>30</v>
      </c>
      <c r="F26" s="17">
        <v>60</v>
      </c>
      <c r="G26" s="17">
        <v>64</v>
      </c>
      <c r="H26" s="17" t="s">
        <v>17</v>
      </c>
      <c r="I26" s="17">
        <v>46204</v>
      </c>
      <c r="J26" s="18">
        <v>35000</v>
      </c>
      <c r="K26" s="17">
        <v>33250</v>
      </c>
      <c r="L26" s="19">
        <f t="shared" si="0"/>
        <v>0.95</v>
      </c>
      <c r="M26" s="19">
        <v>0.42</v>
      </c>
      <c r="N26" s="19">
        <v>0.2</v>
      </c>
      <c r="O26" s="17">
        <v>2</v>
      </c>
    </row>
    <row r="27" spans="1:15" x14ac:dyDescent="0.35">
      <c r="A27" s="17">
        <v>1111</v>
      </c>
      <c r="B27" s="17">
        <v>1457</v>
      </c>
      <c r="C27" s="17">
        <v>2</v>
      </c>
      <c r="D27" s="17" t="s">
        <v>33</v>
      </c>
      <c r="E27" s="17" t="s">
        <v>29</v>
      </c>
      <c r="F27" s="17">
        <v>5</v>
      </c>
      <c r="G27" s="17">
        <v>9</v>
      </c>
      <c r="H27" s="17" t="s">
        <v>6</v>
      </c>
      <c r="I27" s="17">
        <v>46204</v>
      </c>
      <c r="J27" s="18">
        <v>35000</v>
      </c>
      <c r="K27" s="17">
        <v>33250</v>
      </c>
      <c r="L27" s="19">
        <f t="shared" si="0"/>
        <v>0.95</v>
      </c>
      <c r="M27" s="19">
        <v>0.42</v>
      </c>
      <c r="N27" s="19">
        <v>0.2</v>
      </c>
      <c r="O27" s="17">
        <v>4</v>
      </c>
    </row>
    <row r="28" spans="1:15" x14ac:dyDescent="0.35">
      <c r="A28" s="17">
        <v>1111</v>
      </c>
      <c r="B28" s="17">
        <v>1457</v>
      </c>
      <c r="C28" s="17">
        <v>3</v>
      </c>
      <c r="D28" s="17" t="s">
        <v>33</v>
      </c>
      <c r="E28" s="17" t="s">
        <v>30</v>
      </c>
      <c r="F28" s="17">
        <v>45</v>
      </c>
      <c r="G28" s="17">
        <v>49</v>
      </c>
      <c r="H28" s="17" t="s">
        <v>14</v>
      </c>
      <c r="I28" s="17">
        <v>46204</v>
      </c>
      <c r="J28" s="18">
        <v>35000</v>
      </c>
      <c r="K28" s="17">
        <v>33250</v>
      </c>
      <c r="L28" s="19">
        <f t="shared" si="0"/>
        <v>0.95</v>
      </c>
      <c r="M28" s="19">
        <v>0.42</v>
      </c>
      <c r="N28" s="19">
        <v>0.2</v>
      </c>
      <c r="O28" s="17">
        <v>1</v>
      </c>
    </row>
    <row r="29" spans="1:15" x14ac:dyDescent="0.35">
      <c r="A29" s="17">
        <v>1111</v>
      </c>
      <c r="B29" s="17">
        <v>1457</v>
      </c>
      <c r="C29" s="17">
        <v>4</v>
      </c>
      <c r="D29" s="17" t="s">
        <v>33</v>
      </c>
      <c r="E29" s="17" t="s">
        <v>29</v>
      </c>
      <c r="F29" s="17">
        <v>35</v>
      </c>
      <c r="G29" s="17">
        <v>39</v>
      </c>
      <c r="H29" s="17" t="s">
        <v>12</v>
      </c>
      <c r="I29" s="17">
        <v>46204</v>
      </c>
      <c r="J29" s="18">
        <v>35000</v>
      </c>
      <c r="K29" s="17">
        <v>33250</v>
      </c>
      <c r="L29" s="19">
        <f t="shared" si="0"/>
        <v>0.95</v>
      </c>
      <c r="M29" s="19">
        <v>0.42</v>
      </c>
      <c r="N29" s="19">
        <v>0.2</v>
      </c>
      <c r="O29" s="17">
        <v>3</v>
      </c>
    </row>
    <row r="30" spans="1:15" x14ac:dyDescent="0.35">
      <c r="A30" s="17">
        <v>1111</v>
      </c>
      <c r="B30" s="17">
        <v>1457</v>
      </c>
      <c r="C30" s="17">
        <v>4</v>
      </c>
      <c r="D30" s="17" t="s">
        <v>33</v>
      </c>
      <c r="E30" s="17" t="s">
        <v>29</v>
      </c>
      <c r="F30" s="17">
        <v>45</v>
      </c>
      <c r="G30" s="17">
        <v>49</v>
      </c>
      <c r="H30" s="17" t="s">
        <v>14</v>
      </c>
      <c r="I30" s="17">
        <v>46204</v>
      </c>
      <c r="J30" s="18">
        <v>35000</v>
      </c>
      <c r="K30" s="17">
        <v>33250</v>
      </c>
      <c r="L30" s="19">
        <f t="shared" si="0"/>
        <v>0.95</v>
      </c>
      <c r="M30" s="19">
        <v>0.42</v>
      </c>
      <c r="N30" s="19">
        <v>0.2</v>
      </c>
      <c r="O30" s="17">
        <v>5</v>
      </c>
    </row>
    <row r="31" spans="1:15" x14ac:dyDescent="0.35">
      <c r="A31" s="17">
        <v>1111</v>
      </c>
      <c r="B31" s="17">
        <v>1457</v>
      </c>
      <c r="C31" s="17">
        <v>5</v>
      </c>
      <c r="D31" s="17" t="s">
        <v>33</v>
      </c>
      <c r="E31" s="17" t="s">
        <v>30</v>
      </c>
      <c r="F31" s="17">
        <v>55</v>
      </c>
      <c r="G31" s="17">
        <v>59</v>
      </c>
      <c r="H31" s="17" t="s">
        <v>16</v>
      </c>
      <c r="I31" s="17">
        <v>46204</v>
      </c>
      <c r="J31" s="18">
        <v>35000</v>
      </c>
      <c r="K31" s="17">
        <v>33250</v>
      </c>
      <c r="L31" s="19">
        <f t="shared" si="0"/>
        <v>0.95</v>
      </c>
      <c r="M31" s="19">
        <v>0.42</v>
      </c>
      <c r="N31" s="19">
        <v>0.2</v>
      </c>
      <c r="O31" s="17">
        <v>1</v>
      </c>
    </row>
    <row r="32" spans="1:15" x14ac:dyDescent="0.35">
      <c r="A32" s="17">
        <v>1111</v>
      </c>
      <c r="B32" s="17">
        <v>1525</v>
      </c>
      <c r="C32" s="17">
        <v>1</v>
      </c>
      <c r="D32" s="17" t="s">
        <v>34</v>
      </c>
      <c r="E32" s="17" t="s">
        <v>29</v>
      </c>
      <c r="F32" s="17">
        <v>5</v>
      </c>
      <c r="G32" s="17">
        <v>9</v>
      </c>
      <c r="H32" s="17" t="s">
        <v>6</v>
      </c>
      <c r="I32" s="17">
        <v>46204</v>
      </c>
      <c r="J32" s="18">
        <v>38750</v>
      </c>
      <c r="K32" s="17">
        <v>13562.5</v>
      </c>
      <c r="L32" s="19">
        <f t="shared" si="0"/>
        <v>0.35</v>
      </c>
      <c r="M32" s="19">
        <v>0.03</v>
      </c>
      <c r="N32" s="19">
        <v>0</v>
      </c>
      <c r="O32" s="17">
        <v>1</v>
      </c>
    </row>
    <row r="33" spans="1:15" x14ac:dyDescent="0.35">
      <c r="A33" s="17">
        <v>1111</v>
      </c>
      <c r="B33" s="17">
        <v>1525</v>
      </c>
      <c r="C33" s="17">
        <v>1</v>
      </c>
      <c r="D33" s="17" t="s">
        <v>34</v>
      </c>
      <c r="E33" s="17" t="s">
        <v>29</v>
      </c>
      <c r="F33" s="17">
        <v>30</v>
      </c>
      <c r="G33" s="17">
        <v>34</v>
      </c>
      <c r="H33" s="17" t="s">
        <v>11</v>
      </c>
      <c r="I33" s="17">
        <v>46204</v>
      </c>
      <c r="J33" s="18">
        <v>38750</v>
      </c>
      <c r="K33" s="17">
        <v>13562.5</v>
      </c>
      <c r="L33" s="19">
        <f t="shared" si="0"/>
        <v>0.35</v>
      </c>
      <c r="M33" s="19">
        <v>0.03</v>
      </c>
      <c r="N33" s="19">
        <v>0</v>
      </c>
      <c r="O33" s="17">
        <v>1</v>
      </c>
    </row>
    <row r="34" spans="1:15" x14ac:dyDescent="0.35">
      <c r="A34" s="17">
        <v>1111</v>
      </c>
      <c r="B34" s="17">
        <v>1525</v>
      </c>
      <c r="C34" s="17">
        <v>1</v>
      </c>
      <c r="D34" s="17" t="s">
        <v>34</v>
      </c>
      <c r="E34" s="17" t="s">
        <v>29</v>
      </c>
      <c r="F34" s="17">
        <v>35</v>
      </c>
      <c r="G34" s="17">
        <v>39</v>
      </c>
      <c r="H34" s="17" t="s">
        <v>12</v>
      </c>
      <c r="I34" s="17">
        <v>46204</v>
      </c>
      <c r="J34" s="18">
        <v>38750</v>
      </c>
      <c r="K34" s="17">
        <v>13562.5</v>
      </c>
      <c r="L34" s="19">
        <f t="shared" si="0"/>
        <v>0.35</v>
      </c>
      <c r="M34" s="19">
        <v>0.03</v>
      </c>
      <c r="N34" s="19">
        <v>0</v>
      </c>
      <c r="O34" s="17">
        <v>1</v>
      </c>
    </row>
    <row r="35" spans="1:15" x14ac:dyDescent="0.35">
      <c r="A35" s="17">
        <v>1111</v>
      </c>
      <c r="B35" s="17">
        <v>1525</v>
      </c>
      <c r="C35" s="17">
        <v>1</v>
      </c>
      <c r="D35" s="17" t="s">
        <v>34</v>
      </c>
      <c r="E35" s="17" t="s">
        <v>29</v>
      </c>
      <c r="F35" s="17">
        <v>40</v>
      </c>
      <c r="G35" s="17">
        <v>44</v>
      </c>
      <c r="H35" s="17" t="s">
        <v>13</v>
      </c>
      <c r="I35" s="17">
        <v>46204</v>
      </c>
      <c r="J35" s="18">
        <v>38750</v>
      </c>
      <c r="K35" s="17">
        <v>13562.5</v>
      </c>
      <c r="L35" s="19">
        <f t="shared" si="0"/>
        <v>0.35</v>
      </c>
      <c r="M35" s="19">
        <v>0.03</v>
      </c>
      <c r="N35" s="19">
        <v>0</v>
      </c>
      <c r="O35" s="17">
        <v>1</v>
      </c>
    </row>
    <row r="36" spans="1:15" x14ac:dyDescent="0.35">
      <c r="A36" s="17">
        <v>1111</v>
      </c>
      <c r="B36" s="17">
        <v>1525</v>
      </c>
      <c r="C36" s="17">
        <v>1</v>
      </c>
      <c r="D36" s="17" t="s">
        <v>34</v>
      </c>
      <c r="E36" s="17" t="s">
        <v>29</v>
      </c>
      <c r="F36" s="17">
        <v>60</v>
      </c>
      <c r="G36" s="17">
        <v>64</v>
      </c>
      <c r="H36" s="17" t="s">
        <v>17</v>
      </c>
      <c r="I36" s="17">
        <v>46204</v>
      </c>
      <c r="J36" s="18">
        <v>38750</v>
      </c>
      <c r="K36" s="17">
        <v>13562.5</v>
      </c>
      <c r="L36" s="19">
        <f t="shared" si="0"/>
        <v>0.35</v>
      </c>
      <c r="M36" s="19">
        <v>0.03</v>
      </c>
      <c r="N36" s="19">
        <v>0</v>
      </c>
      <c r="O36" s="17">
        <v>1</v>
      </c>
    </row>
    <row r="37" spans="1:15" x14ac:dyDescent="0.35">
      <c r="A37" s="17">
        <v>1111</v>
      </c>
      <c r="B37" s="17">
        <v>1525</v>
      </c>
      <c r="C37" s="17">
        <v>1</v>
      </c>
      <c r="D37" s="17" t="s">
        <v>34</v>
      </c>
      <c r="E37" s="17" t="s">
        <v>30</v>
      </c>
      <c r="F37" s="17">
        <v>15</v>
      </c>
      <c r="G37" s="17">
        <v>19</v>
      </c>
      <c r="H37" s="17" t="s">
        <v>8</v>
      </c>
      <c r="I37" s="17">
        <v>46204</v>
      </c>
      <c r="J37" s="18">
        <v>38750</v>
      </c>
      <c r="K37" s="17">
        <v>13562.5</v>
      </c>
      <c r="L37" s="19">
        <f t="shared" si="0"/>
        <v>0.35</v>
      </c>
      <c r="M37" s="19">
        <v>0.03</v>
      </c>
      <c r="N37" s="19">
        <v>0</v>
      </c>
      <c r="O37" s="17">
        <v>1</v>
      </c>
    </row>
    <row r="38" spans="1:15" x14ac:dyDescent="0.35">
      <c r="A38" s="17">
        <v>1111</v>
      </c>
      <c r="B38" s="17">
        <v>1525</v>
      </c>
      <c r="C38" s="17">
        <v>1</v>
      </c>
      <c r="D38" s="17" t="s">
        <v>34</v>
      </c>
      <c r="E38" s="17" t="s">
        <v>30</v>
      </c>
      <c r="F38" s="17">
        <v>20</v>
      </c>
      <c r="G38" s="17">
        <v>24</v>
      </c>
      <c r="H38" s="17" t="s">
        <v>9</v>
      </c>
      <c r="I38" s="17">
        <v>46204</v>
      </c>
      <c r="J38" s="18">
        <v>38750</v>
      </c>
      <c r="K38" s="17">
        <v>13562.5</v>
      </c>
      <c r="L38" s="19">
        <f t="shared" si="0"/>
        <v>0.35</v>
      </c>
      <c r="M38" s="19">
        <v>0.03</v>
      </c>
      <c r="N38" s="19">
        <v>0</v>
      </c>
      <c r="O38" s="17">
        <v>1</v>
      </c>
    </row>
    <row r="39" spans="1:15" x14ac:dyDescent="0.35">
      <c r="A39" s="17">
        <v>1111</v>
      </c>
      <c r="B39" s="17">
        <v>1525</v>
      </c>
      <c r="C39" s="17">
        <v>1</v>
      </c>
      <c r="D39" s="17" t="s">
        <v>34</v>
      </c>
      <c r="E39" s="17" t="s">
        <v>30</v>
      </c>
      <c r="F39" s="17">
        <v>25</v>
      </c>
      <c r="G39" s="17">
        <v>29</v>
      </c>
      <c r="H39" s="17" t="s">
        <v>10</v>
      </c>
      <c r="I39" s="17">
        <v>46204</v>
      </c>
      <c r="J39" s="18">
        <v>38750</v>
      </c>
      <c r="K39" s="17">
        <v>13562.5</v>
      </c>
      <c r="L39" s="19">
        <f t="shared" si="0"/>
        <v>0.35</v>
      </c>
      <c r="M39" s="19">
        <v>0.03</v>
      </c>
      <c r="N39" s="19">
        <v>0</v>
      </c>
      <c r="O39" s="17">
        <v>1</v>
      </c>
    </row>
    <row r="40" spans="1:15" x14ac:dyDescent="0.35">
      <c r="A40" s="17">
        <v>1111</v>
      </c>
      <c r="B40" s="17">
        <v>1525</v>
      </c>
      <c r="C40" s="17">
        <v>1</v>
      </c>
      <c r="D40" s="17" t="s">
        <v>34</v>
      </c>
      <c r="E40" s="17" t="s">
        <v>30</v>
      </c>
      <c r="F40" s="17">
        <v>30</v>
      </c>
      <c r="G40" s="17">
        <v>34</v>
      </c>
      <c r="H40" s="17" t="s">
        <v>11</v>
      </c>
      <c r="I40" s="17">
        <v>46204</v>
      </c>
      <c r="J40" s="18">
        <v>38750</v>
      </c>
      <c r="K40" s="17">
        <v>13562.5</v>
      </c>
      <c r="L40" s="19">
        <f t="shared" si="0"/>
        <v>0.35</v>
      </c>
      <c r="M40" s="19">
        <v>0.03</v>
      </c>
      <c r="N40" s="19">
        <v>0</v>
      </c>
      <c r="O40" s="17">
        <v>2</v>
      </c>
    </row>
    <row r="41" spans="1:15" x14ac:dyDescent="0.35">
      <c r="A41" s="17">
        <v>1111</v>
      </c>
      <c r="B41" s="17">
        <v>1525</v>
      </c>
      <c r="C41" s="17">
        <v>2</v>
      </c>
      <c r="D41" s="17" t="s">
        <v>34</v>
      </c>
      <c r="E41" s="17" t="s">
        <v>29</v>
      </c>
      <c r="F41" s="17">
        <v>10</v>
      </c>
      <c r="G41" s="17">
        <v>14</v>
      </c>
      <c r="H41" s="17" t="s">
        <v>7</v>
      </c>
      <c r="I41" s="17">
        <v>46204</v>
      </c>
      <c r="J41" s="18">
        <v>38750</v>
      </c>
      <c r="K41" s="17">
        <v>13562.5</v>
      </c>
      <c r="L41" s="19">
        <f t="shared" si="0"/>
        <v>0.35</v>
      </c>
      <c r="M41" s="19">
        <v>0.03</v>
      </c>
      <c r="N41" s="19">
        <v>0</v>
      </c>
      <c r="O41" s="17">
        <v>2</v>
      </c>
    </row>
    <row r="42" spans="1:15" x14ac:dyDescent="0.35">
      <c r="A42" s="17">
        <v>1111</v>
      </c>
      <c r="B42" s="17">
        <v>1525</v>
      </c>
      <c r="C42" s="17">
        <v>2</v>
      </c>
      <c r="D42" s="17" t="s">
        <v>34</v>
      </c>
      <c r="E42" s="17" t="s">
        <v>29</v>
      </c>
      <c r="F42" s="17">
        <v>15</v>
      </c>
      <c r="G42" s="17">
        <v>19</v>
      </c>
      <c r="H42" s="17" t="s">
        <v>8</v>
      </c>
      <c r="I42" s="17">
        <v>46204</v>
      </c>
      <c r="J42" s="18">
        <v>38750</v>
      </c>
      <c r="K42" s="17">
        <v>13562.5</v>
      </c>
      <c r="L42" s="19">
        <f t="shared" si="0"/>
        <v>0.35</v>
      </c>
      <c r="M42" s="19">
        <v>0.03</v>
      </c>
      <c r="N42" s="19">
        <v>0</v>
      </c>
      <c r="O42" s="17">
        <v>2</v>
      </c>
    </row>
    <row r="43" spans="1:15" x14ac:dyDescent="0.35">
      <c r="A43" s="17">
        <v>1111</v>
      </c>
      <c r="B43" s="17">
        <v>1525</v>
      </c>
      <c r="C43" s="17">
        <v>2</v>
      </c>
      <c r="D43" s="17" t="s">
        <v>34</v>
      </c>
      <c r="E43" s="17" t="s">
        <v>30</v>
      </c>
      <c r="F43" s="17">
        <v>15</v>
      </c>
      <c r="G43" s="17">
        <v>19</v>
      </c>
      <c r="H43" s="17" t="s">
        <v>8</v>
      </c>
      <c r="I43" s="17">
        <v>46204</v>
      </c>
      <c r="J43" s="18">
        <v>38750</v>
      </c>
      <c r="K43" s="17">
        <v>13562.5</v>
      </c>
      <c r="L43" s="19">
        <f t="shared" si="0"/>
        <v>0.35</v>
      </c>
      <c r="M43" s="19">
        <v>0.03</v>
      </c>
      <c r="N43" s="19">
        <v>0</v>
      </c>
      <c r="O43" s="17">
        <v>2</v>
      </c>
    </row>
    <row r="44" spans="1:15" x14ac:dyDescent="0.35">
      <c r="A44" s="17">
        <v>1111</v>
      </c>
      <c r="B44" s="17">
        <v>1525</v>
      </c>
      <c r="C44" s="17">
        <v>2</v>
      </c>
      <c r="D44" s="17" t="s">
        <v>34</v>
      </c>
      <c r="E44" s="17" t="s">
        <v>30</v>
      </c>
      <c r="F44" s="17">
        <v>25</v>
      </c>
      <c r="G44" s="17">
        <v>29</v>
      </c>
      <c r="H44" s="17" t="s">
        <v>10</v>
      </c>
      <c r="I44" s="17">
        <v>46204</v>
      </c>
      <c r="J44" s="18">
        <v>38750</v>
      </c>
      <c r="K44" s="17">
        <v>13562.5</v>
      </c>
      <c r="L44" s="19">
        <f t="shared" si="0"/>
        <v>0.35</v>
      </c>
      <c r="M44" s="19">
        <v>0.03</v>
      </c>
      <c r="N44" s="19">
        <v>0</v>
      </c>
      <c r="O44" s="17">
        <v>1</v>
      </c>
    </row>
    <row r="45" spans="1:15" x14ac:dyDescent="0.35">
      <c r="A45" s="17">
        <v>1111</v>
      </c>
      <c r="B45" s="17">
        <v>1525</v>
      </c>
      <c r="C45" s="17">
        <v>2</v>
      </c>
      <c r="D45" s="17" t="s">
        <v>34</v>
      </c>
      <c r="E45" s="17" t="s">
        <v>30</v>
      </c>
      <c r="F45" s="17">
        <v>30</v>
      </c>
      <c r="G45" s="17">
        <v>34</v>
      </c>
      <c r="H45" s="17" t="s">
        <v>11</v>
      </c>
      <c r="I45" s="17">
        <v>46204</v>
      </c>
      <c r="J45" s="18">
        <v>38750</v>
      </c>
      <c r="K45" s="17">
        <v>13562.5</v>
      </c>
      <c r="L45" s="19">
        <f t="shared" si="0"/>
        <v>0.35</v>
      </c>
      <c r="M45" s="19">
        <v>0.03</v>
      </c>
      <c r="N45" s="19">
        <v>0</v>
      </c>
      <c r="O45" s="17">
        <v>1</v>
      </c>
    </row>
    <row r="46" spans="1:15" x14ac:dyDescent="0.35">
      <c r="A46" s="17">
        <v>1111</v>
      </c>
      <c r="B46" s="17">
        <v>1638</v>
      </c>
      <c r="C46" s="17">
        <v>1</v>
      </c>
      <c r="D46" s="17" t="s">
        <v>35</v>
      </c>
      <c r="E46" s="17" t="s">
        <v>29</v>
      </c>
      <c r="F46" s="17">
        <v>55</v>
      </c>
      <c r="G46" s="17">
        <v>59</v>
      </c>
      <c r="H46" s="17" t="s">
        <v>16</v>
      </c>
      <c r="I46" s="17">
        <v>46204</v>
      </c>
      <c r="J46" s="18">
        <v>42500</v>
      </c>
      <c r="K46" s="17">
        <v>21250</v>
      </c>
      <c r="L46" s="19">
        <f t="shared" si="0"/>
        <v>0.5</v>
      </c>
      <c r="M46" s="19">
        <v>0.05</v>
      </c>
      <c r="N46" s="19">
        <v>0</v>
      </c>
      <c r="O46" s="17">
        <v>2</v>
      </c>
    </row>
    <row r="47" spans="1:15" x14ac:dyDescent="0.35">
      <c r="A47" s="17">
        <v>1111</v>
      </c>
      <c r="B47" s="17">
        <v>1638</v>
      </c>
      <c r="C47" s="17">
        <v>1</v>
      </c>
      <c r="D47" s="17" t="s">
        <v>35</v>
      </c>
      <c r="E47" s="17" t="s">
        <v>30</v>
      </c>
      <c r="F47" s="17">
        <v>20</v>
      </c>
      <c r="G47" s="17">
        <v>24</v>
      </c>
      <c r="H47" s="17" t="s">
        <v>9</v>
      </c>
      <c r="I47" s="17">
        <v>46204</v>
      </c>
      <c r="J47" s="18">
        <v>42500</v>
      </c>
      <c r="K47" s="17">
        <v>21250</v>
      </c>
      <c r="L47" s="19">
        <f t="shared" si="0"/>
        <v>0.5</v>
      </c>
      <c r="M47" s="19">
        <v>0.05</v>
      </c>
      <c r="N47" s="19">
        <v>0</v>
      </c>
      <c r="O47" s="17">
        <v>2</v>
      </c>
    </row>
    <row r="48" spans="1:15" x14ac:dyDescent="0.35">
      <c r="A48" s="17">
        <v>1111</v>
      </c>
      <c r="B48" s="17">
        <v>1638</v>
      </c>
      <c r="C48" s="17">
        <v>1</v>
      </c>
      <c r="D48" s="17" t="s">
        <v>35</v>
      </c>
      <c r="E48" s="17" t="s">
        <v>30</v>
      </c>
      <c r="F48" s="17">
        <v>65</v>
      </c>
      <c r="G48" s="17">
        <v>69</v>
      </c>
      <c r="H48" s="17" t="s">
        <v>18</v>
      </c>
      <c r="I48" s="17">
        <v>46204</v>
      </c>
      <c r="J48" s="18">
        <v>42500</v>
      </c>
      <c r="K48" s="17">
        <v>21250</v>
      </c>
      <c r="L48" s="19">
        <f t="shared" si="0"/>
        <v>0.5</v>
      </c>
      <c r="M48" s="19">
        <v>0.05</v>
      </c>
      <c r="N48" s="19">
        <v>0</v>
      </c>
      <c r="O48" s="17">
        <v>2</v>
      </c>
    </row>
    <row r="49" spans="1:15" x14ac:dyDescent="0.35">
      <c r="A49" s="17">
        <v>1111</v>
      </c>
      <c r="B49" s="17">
        <v>1756</v>
      </c>
      <c r="C49" s="17">
        <v>1</v>
      </c>
      <c r="D49" s="17" t="s">
        <v>36</v>
      </c>
      <c r="E49" s="17" t="s">
        <v>29</v>
      </c>
      <c r="F49" s="17">
        <v>0</v>
      </c>
      <c r="G49" s="17">
        <v>4</v>
      </c>
      <c r="H49" s="17" t="s">
        <v>5</v>
      </c>
      <c r="I49" s="17">
        <v>46204</v>
      </c>
      <c r="J49" s="18">
        <v>46250</v>
      </c>
      <c r="K49" s="17">
        <v>30062.5</v>
      </c>
      <c r="L49" s="19">
        <f t="shared" si="0"/>
        <v>0.65</v>
      </c>
      <c r="M49" s="19">
        <v>0.16</v>
      </c>
      <c r="N49" s="19">
        <v>0.05</v>
      </c>
      <c r="O49" s="17">
        <v>3</v>
      </c>
    </row>
    <row r="50" spans="1:15" x14ac:dyDescent="0.35">
      <c r="A50" s="17">
        <v>1111</v>
      </c>
      <c r="B50" s="17">
        <v>1756</v>
      </c>
      <c r="C50" s="17">
        <v>1</v>
      </c>
      <c r="D50" s="17" t="s">
        <v>36</v>
      </c>
      <c r="E50" s="17" t="s">
        <v>29</v>
      </c>
      <c r="F50" s="17">
        <v>10</v>
      </c>
      <c r="G50" s="17">
        <v>14</v>
      </c>
      <c r="H50" s="17" t="s">
        <v>7</v>
      </c>
      <c r="I50" s="17">
        <v>46204</v>
      </c>
      <c r="J50" s="18">
        <v>46250</v>
      </c>
      <c r="K50" s="17">
        <v>30062.5</v>
      </c>
      <c r="L50" s="19">
        <f t="shared" si="0"/>
        <v>0.65</v>
      </c>
      <c r="M50" s="19">
        <v>0.16</v>
      </c>
      <c r="N50" s="19">
        <v>0.05</v>
      </c>
      <c r="O50" s="17">
        <v>1</v>
      </c>
    </row>
    <row r="51" spans="1:15" x14ac:dyDescent="0.35">
      <c r="A51" s="17">
        <v>1111</v>
      </c>
      <c r="B51" s="17">
        <v>1756</v>
      </c>
      <c r="C51" s="17">
        <v>1</v>
      </c>
      <c r="D51" s="17" t="s">
        <v>36</v>
      </c>
      <c r="E51" s="17" t="s">
        <v>29</v>
      </c>
      <c r="F51" s="17">
        <v>15</v>
      </c>
      <c r="G51" s="17">
        <v>19</v>
      </c>
      <c r="H51" s="17" t="s">
        <v>8</v>
      </c>
      <c r="I51" s="17">
        <v>46204</v>
      </c>
      <c r="J51" s="18">
        <v>46250</v>
      </c>
      <c r="K51" s="17">
        <v>30062.5</v>
      </c>
      <c r="L51" s="19">
        <f t="shared" si="0"/>
        <v>0.65</v>
      </c>
      <c r="M51" s="19">
        <v>0.16</v>
      </c>
      <c r="N51" s="19">
        <v>0.05</v>
      </c>
      <c r="O51" s="17">
        <v>1</v>
      </c>
    </row>
    <row r="52" spans="1:15" x14ac:dyDescent="0.35">
      <c r="A52" s="17">
        <v>1111</v>
      </c>
      <c r="B52" s="17">
        <v>1756</v>
      </c>
      <c r="C52" s="17">
        <v>1</v>
      </c>
      <c r="D52" s="17" t="s">
        <v>36</v>
      </c>
      <c r="E52" s="17" t="s">
        <v>29</v>
      </c>
      <c r="F52" s="17">
        <v>20</v>
      </c>
      <c r="G52" s="17">
        <v>24</v>
      </c>
      <c r="H52" s="17" t="s">
        <v>9</v>
      </c>
      <c r="I52" s="17">
        <v>46204</v>
      </c>
      <c r="J52" s="18">
        <v>46250</v>
      </c>
      <c r="K52" s="17">
        <v>30062.5</v>
      </c>
      <c r="L52" s="19">
        <f t="shared" si="0"/>
        <v>0.65</v>
      </c>
      <c r="M52" s="19">
        <v>0.16</v>
      </c>
      <c r="N52" s="19">
        <v>0.05</v>
      </c>
      <c r="O52" s="17">
        <v>1</v>
      </c>
    </row>
    <row r="53" spans="1:15" x14ac:dyDescent="0.35">
      <c r="A53" s="17">
        <v>1111</v>
      </c>
      <c r="B53" s="17">
        <v>1756</v>
      </c>
      <c r="C53" s="17">
        <v>1</v>
      </c>
      <c r="D53" s="17" t="s">
        <v>36</v>
      </c>
      <c r="E53" s="17" t="s">
        <v>29</v>
      </c>
      <c r="F53" s="17">
        <v>30</v>
      </c>
      <c r="G53" s="17">
        <v>34</v>
      </c>
      <c r="H53" s="17" t="s">
        <v>11</v>
      </c>
      <c r="I53" s="17">
        <v>46204</v>
      </c>
      <c r="J53" s="18">
        <v>46250</v>
      </c>
      <c r="K53" s="17">
        <v>30062.5</v>
      </c>
      <c r="L53" s="19">
        <f t="shared" si="0"/>
        <v>0.65</v>
      </c>
      <c r="M53" s="19">
        <v>0.16</v>
      </c>
      <c r="N53" s="19">
        <v>0.05</v>
      </c>
      <c r="O53" s="17">
        <v>1</v>
      </c>
    </row>
    <row r="54" spans="1:15" x14ac:dyDescent="0.35">
      <c r="A54" s="17">
        <v>1111</v>
      </c>
      <c r="B54" s="17">
        <v>1756</v>
      </c>
      <c r="C54" s="17">
        <v>1</v>
      </c>
      <c r="D54" s="17" t="s">
        <v>36</v>
      </c>
      <c r="E54" s="17" t="s">
        <v>29</v>
      </c>
      <c r="F54" s="17">
        <v>35</v>
      </c>
      <c r="G54" s="17">
        <v>39</v>
      </c>
      <c r="H54" s="17" t="s">
        <v>12</v>
      </c>
      <c r="I54" s="17">
        <v>46204</v>
      </c>
      <c r="J54" s="18">
        <v>46250</v>
      </c>
      <c r="K54" s="17">
        <v>30062.5</v>
      </c>
      <c r="L54" s="19">
        <f t="shared" si="0"/>
        <v>0.65</v>
      </c>
      <c r="M54" s="19">
        <v>0.16</v>
      </c>
      <c r="N54" s="19">
        <v>0.05</v>
      </c>
      <c r="O54" s="17">
        <v>1</v>
      </c>
    </row>
    <row r="55" spans="1:15" x14ac:dyDescent="0.35">
      <c r="A55" s="17">
        <v>1111</v>
      </c>
      <c r="B55" s="17">
        <v>1756</v>
      </c>
      <c r="C55" s="17">
        <v>1</v>
      </c>
      <c r="D55" s="17" t="s">
        <v>36</v>
      </c>
      <c r="E55" s="17" t="s">
        <v>29</v>
      </c>
      <c r="F55" s="17">
        <v>60</v>
      </c>
      <c r="G55" s="17">
        <v>64</v>
      </c>
      <c r="H55" s="17" t="s">
        <v>17</v>
      </c>
      <c r="I55" s="17">
        <v>46204</v>
      </c>
      <c r="J55" s="18">
        <v>46250</v>
      </c>
      <c r="K55" s="17">
        <v>30062.5</v>
      </c>
      <c r="L55" s="19">
        <f t="shared" si="0"/>
        <v>0.65</v>
      </c>
      <c r="M55" s="19">
        <v>0.16</v>
      </c>
      <c r="N55" s="19">
        <v>0.05</v>
      </c>
      <c r="O55" s="17">
        <v>1</v>
      </c>
    </row>
    <row r="56" spans="1:15" x14ac:dyDescent="0.35">
      <c r="A56" s="17">
        <v>1111</v>
      </c>
      <c r="B56" s="17">
        <v>1756</v>
      </c>
      <c r="C56" s="17">
        <v>1</v>
      </c>
      <c r="D56" s="17" t="s">
        <v>36</v>
      </c>
      <c r="E56" s="17" t="s">
        <v>29</v>
      </c>
      <c r="F56" s="17">
        <v>65</v>
      </c>
      <c r="G56" s="17">
        <v>69</v>
      </c>
      <c r="H56" s="17" t="s">
        <v>18</v>
      </c>
      <c r="I56" s="17">
        <v>46204</v>
      </c>
      <c r="J56" s="18">
        <v>46250</v>
      </c>
      <c r="K56" s="17">
        <v>30062.5</v>
      </c>
      <c r="L56" s="19">
        <f t="shared" si="0"/>
        <v>0.65</v>
      </c>
      <c r="M56" s="19">
        <v>0.16</v>
      </c>
      <c r="N56" s="19">
        <v>0.05</v>
      </c>
      <c r="O56" s="17">
        <v>1</v>
      </c>
    </row>
    <row r="57" spans="1:15" x14ac:dyDescent="0.35">
      <c r="A57" s="17">
        <v>1111</v>
      </c>
      <c r="B57" s="17">
        <v>1756</v>
      </c>
      <c r="C57" s="17">
        <v>1</v>
      </c>
      <c r="D57" s="17" t="s">
        <v>36</v>
      </c>
      <c r="E57" s="17" t="s">
        <v>30</v>
      </c>
      <c r="F57" s="17">
        <v>10</v>
      </c>
      <c r="G57" s="17">
        <v>14</v>
      </c>
      <c r="H57" s="17" t="s">
        <v>7</v>
      </c>
      <c r="I57" s="17">
        <v>46204</v>
      </c>
      <c r="J57" s="18">
        <v>46250</v>
      </c>
      <c r="K57" s="17">
        <v>30062.5</v>
      </c>
      <c r="L57" s="19">
        <f t="shared" si="0"/>
        <v>0.65</v>
      </c>
      <c r="M57" s="19">
        <v>0.16</v>
      </c>
      <c r="N57" s="19">
        <v>0.05</v>
      </c>
      <c r="O57" s="17">
        <v>1</v>
      </c>
    </row>
    <row r="58" spans="1:15" x14ac:dyDescent="0.35">
      <c r="A58" s="17">
        <v>1111</v>
      </c>
      <c r="B58" s="17">
        <v>1756</v>
      </c>
      <c r="C58" s="17">
        <v>1</v>
      </c>
      <c r="D58" s="17" t="s">
        <v>36</v>
      </c>
      <c r="E58" s="17" t="s">
        <v>30</v>
      </c>
      <c r="F58" s="17">
        <v>25</v>
      </c>
      <c r="G58" s="17">
        <v>29</v>
      </c>
      <c r="H58" s="17" t="s">
        <v>10</v>
      </c>
      <c r="I58" s="17">
        <v>46204</v>
      </c>
      <c r="J58" s="18">
        <v>46250</v>
      </c>
      <c r="K58" s="17">
        <v>30062.5</v>
      </c>
      <c r="L58" s="19">
        <f t="shared" si="0"/>
        <v>0.65</v>
      </c>
      <c r="M58" s="19">
        <v>0.16</v>
      </c>
      <c r="N58" s="19">
        <v>0.05</v>
      </c>
      <c r="O58" s="17">
        <v>7</v>
      </c>
    </row>
    <row r="59" spans="1:15" x14ac:dyDescent="0.35">
      <c r="A59" s="17">
        <v>1111</v>
      </c>
      <c r="B59" s="17">
        <v>1756</v>
      </c>
      <c r="C59" s="17">
        <v>1</v>
      </c>
      <c r="D59" s="17" t="s">
        <v>36</v>
      </c>
      <c r="E59" s="17" t="s">
        <v>30</v>
      </c>
      <c r="F59" s="17">
        <v>30</v>
      </c>
      <c r="G59" s="17">
        <v>34</v>
      </c>
      <c r="H59" s="17" t="s">
        <v>11</v>
      </c>
      <c r="I59" s="17">
        <v>46204</v>
      </c>
      <c r="J59" s="18">
        <v>46250</v>
      </c>
      <c r="K59" s="17">
        <v>30062.5</v>
      </c>
      <c r="L59" s="19">
        <f t="shared" si="0"/>
        <v>0.65</v>
      </c>
      <c r="M59" s="19">
        <v>0.16</v>
      </c>
      <c r="N59" s="19">
        <v>0.05</v>
      </c>
      <c r="O59" s="17">
        <v>5</v>
      </c>
    </row>
    <row r="60" spans="1:15" x14ac:dyDescent="0.35">
      <c r="A60" s="17">
        <v>1111</v>
      </c>
      <c r="B60" s="17">
        <v>1756</v>
      </c>
      <c r="C60" s="17">
        <v>1</v>
      </c>
      <c r="D60" s="17" t="s">
        <v>36</v>
      </c>
      <c r="E60" s="17" t="s">
        <v>30</v>
      </c>
      <c r="F60" s="17">
        <v>55</v>
      </c>
      <c r="G60" s="17">
        <v>59</v>
      </c>
      <c r="H60" s="17" t="s">
        <v>16</v>
      </c>
      <c r="I60" s="17">
        <v>46204</v>
      </c>
      <c r="J60" s="18">
        <v>46250</v>
      </c>
      <c r="K60" s="17">
        <v>30062.5</v>
      </c>
      <c r="L60" s="19">
        <f t="shared" si="0"/>
        <v>0.65</v>
      </c>
      <c r="M60" s="19">
        <v>0.16</v>
      </c>
      <c r="N60" s="19">
        <v>0.05</v>
      </c>
      <c r="O60" s="17">
        <v>2</v>
      </c>
    </row>
    <row r="61" spans="1:15" x14ac:dyDescent="0.35">
      <c r="A61" s="17">
        <v>1111</v>
      </c>
      <c r="B61" s="17">
        <v>1756</v>
      </c>
      <c r="C61" s="17">
        <v>1</v>
      </c>
      <c r="D61" s="17" t="s">
        <v>36</v>
      </c>
      <c r="E61" s="17" t="s">
        <v>30</v>
      </c>
      <c r="F61" s="17">
        <v>65</v>
      </c>
      <c r="G61" s="17">
        <v>69</v>
      </c>
      <c r="H61" s="17" t="s">
        <v>18</v>
      </c>
      <c r="I61" s="17">
        <v>46204</v>
      </c>
      <c r="J61" s="18">
        <v>46250</v>
      </c>
      <c r="K61" s="17">
        <v>30062.5</v>
      </c>
      <c r="L61" s="19">
        <f t="shared" si="0"/>
        <v>0.65</v>
      </c>
      <c r="M61" s="19">
        <v>0.16</v>
      </c>
      <c r="N61" s="19">
        <v>0.05</v>
      </c>
      <c r="O61" s="17">
        <v>2</v>
      </c>
    </row>
    <row r="62" spans="1:15" x14ac:dyDescent="0.35">
      <c r="A62" s="17">
        <v>1111</v>
      </c>
      <c r="B62" s="17">
        <v>1787</v>
      </c>
      <c r="C62" s="17">
        <v>2</v>
      </c>
      <c r="D62" s="17" t="s">
        <v>37</v>
      </c>
      <c r="E62" s="17" t="s">
        <v>29</v>
      </c>
      <c r="F62" s="17">
        <v>0</v>
      </c>
      <c r="G62" s="17">
        <v>4</v>
      </c>
      <c r="H62" s="17" t="s">
        <v>5</v>
      </c>
      <c r="I62" s="17">
        <v>46204</v>
      </c>
      <c r="J62" s="18">
        <v>50000</v>
      </c>
      <c r="K62" s="17">
        <v>40000</v>
      </c>
      <c r="L62" s="19">
        <f t="shared" si="0"/>
        <v>0.8</v>
      </c>
      <c r="M62" s="19">
        <v>0.25</v>
      </c>
      <c r="N62" s="19">
        <v>0.12</v>
      </c>
      <c r="O62" s="17">
        <v>1</v>
      </c>
    </row>
    <row r="63" spans="1:15" x14ac:dyDescent="0.35">
      <c r="A63" s="17">
        <v>1111</v>
      </c>
      <c r="B63" s="17">
        <v>1787</v>
      </c>
      <c r="C63" s="17">
        <v>2</v>
      </c>
      <c r="D63" s="17" t="s">
        <v>37</v>
      </c>
      <c r="E63" s="17" t="s">
        <v>30</v>
      </c>
      <c r="F63" s="17">
        <v>10</v>
      </c>
      <c r="G63" s="17">
        <v>14</v>
      </c>
      <c r="H63" s="17" t="s">
        <v>7</v>
      </c>
      <c r="I63" s="17">
        <v>46204</v>
      </c>
      <c r="J63" s="18">
        <v>50000</v>
      </c>
      <c r="K63" s="17">
        <v>40000</v>
      </c>
      <c r="L63" s="19">
        <f t="shared" si="0"/>
        <v>0.8</v>
      </c>
      <c r="M63" s="19">
        <v>0.25</v>
      </c>
      <c r="N63" s="19">
        <v>0.12</v>
      </c>
      <c r="O63" s="17">
        <v>1</v>
      </c>
    </row>
    <row r="64" spans="1:15" x14ac:dyDescent="0.35">
      <c r="A64" s="17">
        <v>1111</v>
      </c>
      <c r="B64" s="17">
        <v>1787</v>
      </c>
      <c r="C64" s="17">
        <v>2</v>
      </c>
      <c r="D64" s="17" t="s">
        <v>37</v>
      </c>
      <c r="E64" s="17" t="s">
        <v>30</v>
      </c>
      <c r="F64" s="17">
        <v>50</v>
      </c>
      <c r="G64" s="17">
        <v>54</v>
      </c>
      <c r="H64" s="17" t="s">
        <v>15</v>
      </c>
      <c r="I64" s="17">
        <v>46204</v>
      </c>
      <c r="J64" s="18">
        <v>50000</v>
      </c>
      <c r="K64" s="17">
        <v>40000</v>
      </c>
      <c r="L64" s="19">
        <f t="shared" si="0"/>
        <v>0.8</v>
      </c>
      <c r="M64" s="19">
        <v>0.25</v>
      </c>
      <c r="N64" s="19">
        <v>0.12</v>
      </c>
      <c r="O64" s="17">
        <v>1</v>
      </c>
    </row>
    <row r="65" spans="1:15" x14ac:dyDescent="0.35">
      <c r="A65" s="17">
        <v>1111</v>
      </c>
      <c r="B65" s="17">
        <v>1787</v>
      </c>
      <c r="C65" s="17">
        <v>2</v>
      </c>
      <c r="D65" s="17" t="s">
        <v>37</v>
      </c>
      <c r="E65" s="17" t="s">
        <v>30</v>
      </c>
      <c r="F65" s="17">
        <v>65</v>
      </c>
      <c r="G65" s="17">
        <v>69</v>
      </c>
      <c r="H65" s="17" t="s">
        <v>18</v>
      </c>
      <c r="I65" s="17">
        <v>46204</v>
      </c>
      <c r="J65" s="18">
        <v>50000</v>
      </c>
      <c r="K65" s="17">
        <v>40000</v>
      </c>
      <c r="L65" s="19">
        <f t="shared" si="0"/>
        <v>0.8</v>
      </c>
      <c r="M65" s="19">
        <v>0.25</v>
      </c>
      <c r="N65" s="19">
        <v>0.12</v>
      </c>
      <c r="O65" s="17">
        <v>1</v>
      </c>
    </row>
    <row r="66" spans="1:15" x14ac:dyDescent="0.35">
      <c r="A66" s="17">
        <v>1111</v>
      </c>
      <c r="B66" s="17">
        <v>1875</v>
      </c>
      <c r="C66" s="17">
        <v>1</v>
      </c>
      <c r="D66" s="17" t="s">
        <v>38</v>
      </c>
      <c r="E66" s="17" t="s">
        <v>29</v>
      </c>
      <c r="F66" s="17">
        <v>5</v>
      </c>
      <c r="G66" s="17">
        <v>9</v>
      </c>
      <c r="H66" s="17" t="s">
        <v>6</v>
      </c>
      <c r="I66" s="17">
        <v>46204</v>
      </c>
      <c r="J66" s="18">
        <v>53750</v>
      </c>
      <c r="K66" s="17">
        <v>51062.5</v>
      </c>
      <c r="L66" s="19">
        <f t="shared" ref="L66:L72" si="1">IFERROR(K66/J66,0)</f>
        <v>0.95</v>
      </c>
      <c r="M66" s="19">
        <v>0.42</v>
      </c>
      <c r="N66" s="19">
        <v>0.2</v>
      </c>
      <c r="O66" s="17">
        <v>1</v>
      </c>
    </row>
    <row r="67" spans="1:15" x14ac:dyDescent="0.35">
      <c r="A67" s="17">
        <v>1111</v>
      </c>
      <c r="B67" s="17">
        <v>1875</v>
      </c>
      <c r="C67" s="17">
        <v>1</v>
      </c>
      <c r="D67" s="17" t="s">
        <v>38</v>
      </c>
      <c r="E67" s="17" t="s">
        <v>29</v>
      </c>
      <c r="F67" s="17">
        <v>10</v>
      </c>
      <c r="G67" s="17">
        <v>14</v>
      </c>
      <c r="H67" s="17" t="s">
        <v>7</v>
      </c>
      <c r="I67" s="17">
        <v>46204</v>
      </c>
      <c r="J67" s="18">
        <v>53750</v>
      </c>
      <c r="K67" s="17">
        <v>51062.5</v>
      </c>
      <c r="L67" s="19">
        <f t="shared" si="1"/>
        <v>0.95</v>
      </c>
      <c r="M67" s="19">
        <v>0.42</v>
      </c>
      <c r="N67" s="19">
        <v>0.2</v>
      </c>
      <c r="O67" s="17">
        <v>2</v>
      </c>
    </row>
    <row r="68" spans="1:15" x14ac:dyDescent="0.35">
      <c r="A68" s="17">
        <v>1111</v>
      </c>
      <c r="B68" s="17">
        <v>1875</v>
      </c>
      <c r="C68" s="17">
        <v>1</v>
      </c>
      <c r="D68" s="17" t="s">
        <v>38</v>
      </c>
      <c r="E68" s="17" t="s">
        <v>29</v>
      </c>
      <c r="F68" s="17">
        <v>15</v>
      </c>
      <c r="G68" s="17">
        <v>19</v>
      </c>
      <c r="H68" s="17" t="s">
        <v>8</v>
      </c>
      <c r="I68" s="17">
        <v>46204</v>
      </c>
      <c r="J68" s="18">
        <v>53750</v>
      </c>
      <c r="K68" s="17">
        <v>51062.5</v>
      </c>
      <c r="L68" s="19">
        <f t="shared" si="1"/>
        <v>0.95</v>
      </c>
      <c r="M68" s="19">
        <v>0.42</v>
      </c>
      <c r="N68" s="19">
        <v>0.2</v>
      </c>
      <c r="O68" s="17">
        <v>2</v>
      </c>
    </row>
    <row r="69" spans="1:15" x14ac:dyDescent="0.35">
      <c r="A69" s="17">
        <v>1111</v>
      </c>
      <c r="B69" s="17">
        <v>1875</v>
      </c>
      <c r="C69" s="17">
        <v>1</v>
      </c>
      <c r="D69" s="17" t="s">
        <v>38</v>
      </c>
      <c r="E69" s="17" t="s">
        <v>29</v>
      </c>
      <c r="F69" s="17">
        <v>20</v>
      </c>
      <c r="G69" s="17">
        <v>24</v>
      </c>
      <c r="H69" s="17" t="s">
        <v>9</v>
      </c>
      <c r="I69" s="17">
        <v>46204</v>
      </c>
      <c r="J69" s="18">
        <v>53750</v>
      </c>
      <c r="K69" s="17">
        <v>51062.5</v>
      </c>
      <c r="L69" s="19">
        <f t="shared" si="1"/>
        <v>0.95</v>
      </c>
      <c r="M69" s="19">
        <v>0.42</v>
      </c>
      <c r="N69" s="19">
        <v>0.2</v>
      </c>
      <c r="O69" s="17">
        <v>2</v>
      </c>
    </row>
    <row r="70" spans="1:15" x14ac:dyDescent="0.35">
      <c r="A70" s="17">
        <v>1111</v>
      </c>
      <c r="B70" s="17">
        <v>1952</v>
      </c>
      <c r="C70" s="17">
        <v>1</v>
      </c>
      <c r="D70" s="17" t="s">
        <v>35</v>
      </c>
      <c r="E70" s="17" t="s">
        <v>29</v>
      </c>
      <c r="F70" s="17">
        <v>45</v>
      </c>
      <c r="G70" s="17">
        <v>49</v>
      </c>
      <c r="H70" s="17" t="s">
        <v>14</v>
      </c>
      <c r="I70" s="17">
        <v>46204</v>
      </c>
      <c r="J70" s="18">
        <v>57500</v>
      </c>
      <c r="K70" s="17">
        <v>20125</v>
      </c>
      <c r="L70" s="19">
        <f t="shared" si="1"/>
        <v>0.35</v>
      </c>
      <c r="M70" s="19">
        <v>0.03</v>
      </c>
      <c r="N70" s="19">
        <v>0</v>
      </c>
      <c r="O70" s="17">
        <v>1</v>
      </c>
    </row>
    <row r="71" spans="1:15" x14ac:dyDescent="0.35">
      <c r="A71" s="17">
        <v>1111</v>
      </c>
      <c r="B71" s="17">
        <v>1952</v>
      </c>
      <c r="C71" s="17">
        <v>1</v>
      </c>
      <c r="D71" s="17" t="s">
        <v>35</v>
      </c>
      <c r="E71" s="17" t="s">
        <v>30</v>
      </c>
      <c r="F71" s="17">
        <v>50</v>
      </c>
      <c r="G71" s="17">
        <v>54</v>
      </c>
      <c r="H71" s="17" t="s">
        <v>15</v>
      </c>
      <c r="I71" s="17">
        <v>46204</v>
      </c>
      <c r="J71" s="18">
        <v>57500</v>
      </c>
      <c r="K71" s="17">
        <v>20125</v>
      </c>
      <c r="L71" s="19">
        <f t="shared" si="1"/>
        <v>0.35</v>
      </c>
      <c r="M71" s="19">
        <v>0.03</v>
      </c>
      <c r="N71" s="19">
        <v>0</v>
      </c>
      <c r="O71" s="17">
        <v>3</v>
      </c>
    </row>
    <row r="72" spans="1:15" x14ac:dyDescent="0.35">
      <c r="A72" s="17">
        <v>1111</v>
      </c>
      <c r="B72" s="17">
        <v>1952</v>
      </c>
      <c r="C72" s="17">
        <v>1</v>
      </c>
      <c r="D72" s="17" t="s">
        <v>35</v>
      </c>
      <c r="E72" s="17" t="s">
        <v>30</v>
      </c>
      <c r="F72" s="17">
        <v>55</v>
      </c>
      <c r="G72" s="17">
        <v>59</v>
      </c>
      <c r="H72" s="17" t="s">
        <v>16</v>
      </c>
      <c r="I72" s="17">
        <v>46204</v>
      </c>
      <c r="J72" s="18">
        <v>57500</v>
      </c>
      <c r="K72" s="17">
        <v>20125</v>
      </c>
      <c r="L72" s="19">
        <f t="shared" si="1"/>
        <v>0.35</v>
      </c>
      <c r="M72" s="19">
        <v>0.03</v>
      </c>
      <c r="N72" s="19">
        <v>0</v>
      </c>
      <c r="O72" s="17"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E4D27-0ECB-4D3F-B2E2-ACFF3F608942}">
  <sheetPr codeName="Hoja1"/>
  <dimension ref="B7:F19"/>
  <sheetViews>
    <sheetView topLeftCell="A5" workbookViewId="0">
      <selection activeCell="I12" sqref="I12"/>
    </sheetView>
  </sheetViews>
  <sheetFormatPr baseColWidth="10" defaultRowHeight="14.5" x14ac:dyDescent="0.35"/>
  <sheetData>
    <row r="7" spans="2:6" x14ac:dyDescent="0.35">
      <c r="B7" s="36" t="s">
        <v>2</v>
      </c>
      <c r="C7" s="37"/>
      <c r="D7" s="37"/>
      <c r="E7" s="37"/>
      <c r="F7" s="38"/>
    </row>
    <row r="8" spans="2:6" x14ac:dyDescent="0.35">
      <c r="B8" s="6" t="s">
        <v>0</v>
      </c>
      <c r="C8" s="7" t="s">
        <v>1</v>
      </c>
      <c r="D8" s="7"/>
      <c r="E8" s="7"/>
      <c r="F8" s="7"/>
    </row>
    <row r="9" spans="2:6" x14ac:dyDescent="0.35">
      <c r="B9" s="8">
        <v>1095</v>
      </c>
      <c r="C9" s="1" t="s">
        <v>31</v>
      </c>
      <c r="D9" s="1"/>
      <c r="E9" s="1"/>
      <c r="F9" s="1"/>
    </row>
    <row r="10" spans="2:6" x14ac:dyDescent="0.35">
      <c r="B10" s="8">
        <v>1234</v>
      </c>
      <c r="C10" s="1" t="s">
        <v>32</v>
      </c>
      <c r="D10" s="1"/>
      <c r="E10" s="1"/>
      <c r="F10" s="1"/>
    </row>
    <row r="11" spans="2:6" x14ac:dyDescent="0.35">
      <c r="B11" s="8">
        <v>1265</v>
      </c>
      <c r="C11" s="1" t="s">
        <v>33</v>
      </c>
      <c r="D11" s="1"/>
      <c r="E11" s="1"/>
      <c r="F11" s="1"/>
    </row>
    <row r="12" spans="2:6" x14ac:dyDescent="0.35">
      <c r="B12" s="8">
        <v>1320</v>
      </c>
      <c r="C12" s="1" t="s">
        <v>31</v>
      </c>
      <c r="D12" s="1"/>
      <c r="E12" s="1"/>
      <c r="F12" s="1"/>
    </row>
    <row r="13" spans="2:6" x14ac:dyDescent="0.35">
      <c r="B13" s="8">
        <v>1457</v>
      </c>
      <c r="C13" s="1" t="s">
        <v>33</v>
      </c>
      <c r="D13" s="1"/>
      <c r="E13" s="1"/>
      <c r="F13" s="1"/>
    </row>
    <row r="14" spans="2:6" x14ac:dyDescent="0.35">
      <c r="B14" s="8">
        <v>1525</v>
      </c>
      <c r="C14" s="1" t="s">
        <v>34</v>
      </c>
      <c r="D14" s="1"/>
      <c r="E14" s="1"/>
      <c r="F14" s="1"/>
    </row>
    <row r="15" spans="2:6" x14ac:dyDescent="0.35">
      <c r="B15" s="8">
        <v>1638</v>
      </c>
      <c r="C15" s="1" t="s">
        <v>35</v>
      </c>
      <c r="D15" s="1"/>
      <c r="E15" s="1"/>
      <c r="F15" s="1"/>
    </row>
    <row r="16" spans="2:6" x14ac:dyDescent="0.35">
      <c r="B16" s="8">
        <v>1756</v>
      </c>
      <c r="C16" s="1" t="s">
        <v>36</v>
      </c>
      <c r="D16" s="1"/>
      <c r="E16" s="1"/>
      <c r="F16" s="1"/>
    </row>
    <row r="17" spans="2:6" x14ac:dyDescent="0.35">
      <c r="B17" s="8">
        <v>1787</v>
      </c>
      <c r="C17" s="1" t="s">
        <v>37</v>
      </c>
      <c r="D17" s="1"/>
      <c r="E17" s="1"/>
      <c r="F17" s="1"/>
    </row>
    <row r="18" spans="2:6" x14ac:dyDescent="0.35">
      <c r="B18" s="8">
        <v>1875</v>
      </c>
      <c r="C18" s="1" t="s">
        <v>38</v>
      </c>
      <c r="D18" s="1"/>
      <c r="E18" s="1"/>
      <c r="F18" s="1"/>
    </row>
    <row r="19" spans="2:6" x14ac:dyDescent="0.35">
      <c r="B19" s="8">
        <v>1952</v>
      </c>
      <c r="C19" s="1" t="s">
        <v>35</v>
      </c>
      <c r="D19" s="1"/>
      <c r="E19" s="1"/>
      <c r="F19" s="1"/>
    </row>
  </sheetData>
  <mergeCells count="1">
    <mergeCell ref="B7:F7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CF2E9-7141-4151-9B45-91447EA1465F}">
  <sheetPr codeName="Hoja2"/>
  <dimension ref="B9:H57"/>
  <sheetViews>
    <sheetView topLeftCell="A28" zoomScale="50" zoomScaleNormal="50" workbookViewId="0">
      <selection activeCell="L50" sqref="L50"/>
    </sheetView>
  </sheetViews>
  <sheetFormatPr baseColWidth="10" defaultRowHeight="14.5" x14ac:dyDescent="0.35"/>
  <cols>
    <col min="3" max="3" width="12.54296875" bestFit="1" customWidth="1"/>
    <col min="4" max="4" width="13.1796875" customWidth="1"/>
    <col min="6" max="6" width="12.36328125" customWidth="1"/>
    <col min="7" max="7" width="13" customWidth="1"/>
    <col min="8" max="8" width="13.81640625" customWidth="1"/>
    <col min="12" max="12" width="12.453125" bestFit="1" customWidth="1"/>
    <col min="20" max="20" width="12.453125" bestFit="1" customWidth="1"/>
  </cols>
  <sheetData>
    <row r="9" spans="2:7" ht="21" x14ac:dyDescent="0.35">
      <c r="C9" s="39" t="s">
        <v>81</v>
      </c>
      <c r="D9" s="39"/>
      <c r="E9" s="39"/>
      <c r="F9" s="39"/>
    </row>
    <row r="12" spans="2:7" x14ac:dyDescent="0.35">
      <c r="B12" s="40" t="s">
        <v>63</v>
      </c>
      <c r="C12" s="40"/>
      <c r="D12">
        <v>1095</v>
      </c>
      <c r="E12" s="40" t="s">
        <v>1</v>
      </c>
      <c r="F12" s="40"/>
      <c r="G12" t="str">
        <f>IFERROR(INDEX(DATOS!$D:$D,MATCH(D12,DATOS!$B:$B,0)),"")</f>
        <v>empresa1</v>
      </c>
    </row>
    <row r="13" spans="2:7" x14ac:dyDescent="0.35">
      <c r="B13" s="40" t="s">
        <v>64</v>
      </c>
      <c r="C13" s="40"/>
      <c r="D13">
        <f>QUOTIENT(COLUMN()-COLUMN($D$7),8)+1</f>
        <v>1</v>
      </c>
      <c r="E13" s="40" t="s">
        <v>65</v>
      </c>
      <c r="F13" s="40"/>
      <c r="G13" s="30">
        <f>IFERROR(INDEX(DATOS!$I:$I,MATCH(D12,DATOS!$B:$B,0)),"")</f>
        <v>46204</v>
      </c>
    </row>
    <row r="14" spans="2:7" x14ac:dyDescent="0.35">
      <c r="B14" s="40" t="s">
        <v>66</v>
      </c>
      <c r="C14" s="40"/>
      <c r="D14" s="31">
        <f>IFERROR(INDEX(DATOS!$J:$J,MATCH(D12,DATOS!$B:$B,0)),0)</f>
        <v>20000</v>
      </c>
      <c r="E14" s="40" t="s">
        <v>67</v>
      </c>
      <c r="F14" s="40"/>
      <c r="G14" s="32">
        <f>IFERROR(INDEX(DATOS!$L:$L,MATCH(D12,DATOS!$B:$B,0)),0)</f>
        <v>0.35</v>
      </c>
    </row>
    <row r="15" spans="2:7" x14ac:dyDescent="0.35">
      <c r="B15" s="40" t="s">
        <v>68</v>
      </c>
      <c r="C15" s="40"/>
      <c r="D15" s="33">
        <f>IFERROR(INDEX(DATOS!$M:$M,MATCH(D12,DATOS!$B:$B,0)),0)</f>
        <v>0.03</v>
      </c>
      <c r="E15" s="40" t="s">
        <v>69</v>
      </c>
      <c r="F15" s="40"/>
      <c r="G15" s="32">
        <f>IFERROR(INDEX(DATOS!$N:$N,MATCH(D12,DATOS!$B:$B,0)),0)</f>
        <v>0</v>
      </c>
    </row>
    <row r="19" spans="3:6" x14ac:dyDescent="0.35">
      <c r="C19" s="52" t="s">
        <v>70</v>
      </c>
      <c r="D19" s="52"/>
      <c r="E19" s="52"/>
      <c r="F19" s="52"/>
    </row>
    <row r="20" spans="3:6" x14ac:dyDescent="0.35">
      <c r="C20" s="34" t="s">
        <v>71</v>
      </c>
      <c r="D20" s="51" t="s">
        <v>72</v>
      </c>
      <c r="E20" s="51"/>
      <c r="F20" s="51"/>
    </row>
    <row r="21" spans="3:6" x14ac:dyDescent="0.35">
      <c r="C21" s="34" t="s">
        <v>73</v>
      </c>
      <c r="D21" s="51" t="s">
        <v>74</v>
      </c>
      <c r="E21" s="51"/>
      <c r="F21" s="51"/>
    </row>
    <row r="22" spans="3:6" x14ac:dyDescent="0.35">
      <c r="C22" s="34" t="s">
        <v>75</v>
      </c>
      <c r="D22" s="51" t="s">
        <v>76</v>
      </c>
      <c r="E22" s="51"/>
      <c r="F22" s="51"/>
    </row>
    <row r="23" spans="3:6" x14ac:dyDescent="0.35">
      <c r="C23" s="34" t="s">
        <v>77</v>
      </c>
      <c r="D23" s="51" t="s">
        <v>78</v>
      </c>
      <c r="E23" s="51"/>
      <c r="F23" s="51"/>
    </row>
    <row r="24" spans="3:6" x14ac:dyDescent="0.35">
      <c r="C24" s="34" t="s">
        <v>79</v>
      </c>
      <c r="D24" s="51" t="s">
        <v>80</v>
      </c>
      <c r="E24" s="51"/>
      <c r="F24" s="51"/>
    </row>
    <row r="34" spans="2:8" x14ac:dyDescent="0.35">
      <c r="B34" s="41" t="s">
        <v>3</v>
      </c>
      <c r="C34" s="41"/>
      <c r="D34" s="41"/>
      <c r="E34" s="41"/>
      <c r="F34" s="41"/>
      <c r="G34" s="41"/>
      <c r="H34" s="41"/>
    </row>
    <row r="35" spans="2:8" x14ac:dyDescent="0.35">
      <c r="B35" s="42" t="s">
        <v>4</v>
      </c>
      <c r="C35" s="41" t="s">
        <v>22</v>
      </c>
      <c r="D35" s="41"/>
      <c r="E35" s="41" t="s">
        <v>21</v>
      </c>
      <c r="F35" s="41"/>
      <c r="G35" s="41" t="s">
        <v>23</v>
      </c>
      <c r="H35" s="41"/>
    </row>
    <row r="36" spans="2:8" x14ac:dyDescent="0.35">
      <c r="B36" s="43"/>
      <c r="C36" s="2" t="s">
        <v>19</v>
      </c>
      <c r="D36" s="2" t="s">
        <v>20</v>
      </c>
      <c r="E36" s="2" t="s">
        <v>19</v>
      </c>
      <c r="F36" s="2" t="s">
        <v>20</v>
      </c>
      <c r="G36" s="2" t="s">
        <v>19</v>
      </c>
      <c r="H36" s="2" t="s">
        <v>20</v>
      </c>
    </row>
    <row r="37" spans="2:8" x14ac:dyDescent="0.35">
      <c r="B37" s="3" t="s">
        <v>5</v>
      </c>
      <c r="C37" s="35">
        <v>1200</v>
      </c>
      <c r="D37" s="35">
        <v>1100</v>
      </c>
      <c r="E37" s="2"/>
      <c r="F37" s="2"/>
      <c r="G37" s="10">
        <f xml:space="preserve"> C37 * E37</f>
        <v>0</v>
      </c>
      <c r="H37" s="10">
        <f xml:space="preserve"> D37 * F37</f>
        <v>0</v>
      </c>
    </row>
    <row r="38" spans="2:8" x14ac:dyDescent="0.35">
      <c r="B38" s="3" t="s">
        <v>6</v>
      </c>
      <c r="C38" s="35">
        <v>1300</v>
      </c>
      <c r="D38" s="35">
        <v>1200</v>
      </c>
      <c r="E38" s="2"/>
      <c r="F38" s="2"/>
      <c r="G38" s="10">
        <f t="shared" ref="G38:G50" si="0" xml:space="preserve"> C38 * E38</f>
        <v>0</v>
      </c>
      <c r="H38" s="10">
        <f t="shared" ref="H38:H50" si="1" xml:space="preserve"> D38 * F38</f>
        <v>0</v>
      </c>
    </row>
    <row r="39" spans="2:8" x14ac:dyDescent="0.35">
      <c r="B39" s="3" t="s">
        <v>7</v>
      </c>
      <c r="C39" s="35">
        <v>1500</v>
      </c>
      <c r="D39" s="35">
        <v>1400</v>
      </c>
      <c r="E39" s="2"/>
      <c r="F39" s="2"/>
      <c r="G39" s="10">
        <f t="shared" si="0"/>
        <v>0</v>
      </c>
      <c r="H39" s="10">
        <f t="shared" si="1"/>
        <v>0</v>
      </c>
    </row>
    <row r="40" spans="2:8" x14ac:dyDescent="0.35">
      <c r="B40" s="3" t="s">
        <v>8</v>
      </c>
      <c r="C40" s="35">
        <v>1700</v>
      </c>
      <c r="D40" s="35">
        <v>1600</v>
      </c>
      <c r="E40" s="2"/>
      <c r="F40" s="2"/>
      <c r="G40" s="10">
        <f t="shared" si="0"/>
        <v>0</v>
      </c>
      <c r="H40" s="10">
        <f t="shared" si="1"/>
        <v>0</v>
      </c>
    </row>
    <row r="41" spans="2:8" x14ac:dyDescent="0.35">
      <c r="B41" s="3" t="s">
        <v>9</v>
      </c>
      <c r="C41" s="35">
        <v>1900</v>
      </c>
      <c r="D41" s="35">
        <v>1800</v>
      </c>
      <c r="E41" s="2"/>
      <c r="F41" s="2"/>
      <c r="G41" s="10">
        <f t="shared" si="0"/>
        <v>0</v>
      </c>
      <c r="H41" s="10">
        <f t="shared" si="1"/>
        <v>0</v>
      </c>
    </row>
    <row r="42" spans="2:8" x14ac:dyDescent="0.35">
      <c r="B42" s="3" t="s">
        <v>10</v>
      </c>
      <c r="C42" s="35">
        <v>2200</v>
      </c>
      <c r="D42" s="35">
        <v>2000</v>
      </c>
      <c r="E42" s="2"/>
      <c r="F42" s="2"/>
      <c r="G42" s="10">
        <f t="shared" si="0"/>
        <v>0</v>
      </c>
      <c r="H42" s="10">
        <f t="shared" si="1"/>
        <v>0</v>
      </c>
    </row>
    <row r="43" spans="2:8" x14ac:dyDescent="0.35">
      <c r="B43" s="3" t="s">
        <v>11</v>
      </c>
      <c r="C43" s="35">
        <v>2600</v>
      </c>
      <c r="D43" s="35">
        <v>2400</v>
      </c>
      <c r="E43" s="2"/>
      <c r="F43" s="2"/>
      <c r="G43" s="10">
        <f t="shared" si="0"/>
        <v>0</v>
      </c>
      <c r="H43" s="10">
        <f t="shared" si="1"/>
        <v>0</v>
      </c>
    </row>
    <row r="44" spans="2:8" x14ac:dyDescent="0.35">
      <c r="B44" s="3" t="s">
        <v>12</v>
      </c>
      <c r="C44" s="35">
        <v>3000</v>
      </c>
      <c r="D44" s="35">
        <v>2800</v>
      </c>
      <c r="E44" s="2"/>
      <c r="F44" s="2"/>
      <c r="G44" s="10">
        <f t="shared" si="0"/>
        <v>0</v>
      </c>
      <c r="H44" s="10">
        <f t="shared" si="1"/>
        <v>0</v>
      </c>
    </row>
    <row r="45" spans="2:8" x14ac:dyDescent="0.35">
      <c r="B45" s="3" t="s">
        <v>13</v>
      </c>
      <c r="C45" s="35">
        <v>3500</v>
      </c>
      <c r="D45" s="35">
        <v>3300</v>
      </c>
      <c r="E45" s="2"/>
      <c r="F45" s="2"/>
      <c r="G45" s="10">
        <f t="shared" si="0"/>
        <v>0</v>
      </c>
      <c r="H45" s="10">
        <f t="shared" si="1"/>
        <v>0</v>
      </c>
    </row>
    <row r="46" spans="2:8" x14ac:dyDescent="0.35">
      <c r="B46" s="3" t="s">
        <v>14</v>
      </c>
      <c r="C46" s="35">
        <v>4200</v>
      </c>
      <c r="D46" s="35">
        <v>3900</v>
      </c>
      <c r="E46" s="2"/>
      <c r="F46" s="2"/>
      <c r="G46" s="10">
        <f t="shared" si="0"/>
        <v>0</v>
      </c>
      <c r="H46" s="10">
        <f t="shared" si="1"/>
        <v>0</v>
      </c>
    </row>
    <row r="47" spans="2:8" x14ac:dyDescent="0.35">
      <c r="B47" s="3" t="s">
        <v>15</v>
      </c>
      <c r="C47" s="35">
        <v>5000</v>
      </c>
      <c r="D47" s="35">
        <v>4700</v>
      </c>
      <c r="E47" s="2"/>
      <c r="F47" s="2"/>
      <c r="G47" s="10">
        <f t="shared" si="0"/>
        <v>0</v>
      </c>
      <c r="H47" s="10">
        <f t="shared" si="1"/>
        <v>0</v>
      </c>
    </row>
    <row r="48" spans="2:8" x14ac:dyDescent="0.35">
      <c r="B48" s="3" t="s">
        <v>16</v>
      </c>
      <c r="C48" s="35">
        <v>5800</v>
      </c>
      <c r="D48" s="35">
        <v>5500</v>
      </c>
      <c r="E48" s="2"/>
      <c r="F48" s="2"/>
      <c r="G48" s="10">
        <f t="shared" si="0"/>
        <v>0</v>
      </c>
      <c r="H48" s="10">
        <f t="shared" si="1"/>
        <v>0</v>
      </c>
    </row>
    <row r="49" spans="2:8" x14ac:dyDescent="0.35">
      <c r="B49" s="3" t="s">
        <v>17</v>
      </c>
      <c r="C49" s="35">
        <v>6600</v>
      </c>
      <c r="D49" s="35">
        <v>6200</v>
      </c>
      <c r="E49" s="2"/>
      <c r="F49" s="2"/>
      <c r="G49" s="10">
        <f t="shared" si="0"/>
        <v>0</v>
      </c>
      <c r="H49" s="10">
        <f t="shared" si="1"/>
        <v>0</v>
      </c>
    </row>
    <row r="50" spans="2:8" x14ac:dyDescent="0.35">
      <c r="B50" s="3" t="s">
        <v>18</v>
      </c>
      <c r="C50" s="35">
        <v>7200</v>
      </c>
      <c r="D50" s="35">
        <v>6800</v>
      </c>
      <c r="E50" s="2"/>
      <c r="F50" s="2"/>
      <c r="G50" s="10">
        <f t="shared" si="0"/>
        <v>0</v>
      </c>
      <c r="H50" s="10">
        <f t="shared" si="1"/>
        <v>0</v>
      </c>
    </row>
    <row r="52" spans="2:8" x14ac:dyDescent="0.35">
      <c r="B52" s="47" t="s">
        <v>24</v>
      </c>
      <c r="C52" s="47"/>
      <c r="D52" s="47"/>
      <c r="E52" s="9">
        <f>SUM(E37:E50)</f>
        <v>0</v>
      </c>
      <c r="F52" s="9">
        <f>SUM(F37:F50)</f>
        <v>0</v>
      </c>
      <c r="G52" s="10">
        <f>SUM(G37:G50)</f>
        <v>0</v>
      </c>
      <c r="H52" s="10">
        <f>SUM(H37:H50)</f>
        <v>0</v>
      </c>
    </row>
    <row r="54" spans="2:8" x14ac:dyDescent="0.35">
      <c r="B54" s="47" t="s">
        <v>26</v>
      </c>
      <c r="C54" s="47"/>
      <c r="D54" s="47"/>
      <c r="E54" s="49">
        <f>E52+F52</f>
        <v>0</v>
      </c>
      <c r="F54" s="50"/>
      <c r="G54" s="44">
        <f>G52+H52</f>
        <v>0</v>
      </c>
      <c r="H54" s="45"/>
    </row>
    <row r="56" spans="2:8" x14ac:dyDescent="0.35">
      <c r="B56" s="48" t="s">
        <v>25</v>
      </c>
      <c r="C56" s="48"/>
      <c r="D56" s="48"/>
      <c r="E56" s="44">
        <f>SUM(G54)</f>
        <v>0</v>
      </c>
      <c r="F56" s="45"/>
    </row>
    <row r="57" spans="2:8" x14ac:dyDescent="0.35">
      <c r="B57" s="48" t="s">
        <v>27</v>
      </c>
      <c r="C57" s="48"/>
      <c r="D57" s="48"/>
      <c r="E57" s="46">
        <f>SUM(E54)</f>
        <v>0</v>
      </c>
      <c r="F57" s="47"/>
    </row>
  </sheetData>
  <mergeCells count="28">
    <mergeCell ref="D23:F23"/>
    <mergeCell ref="D24:F24"/>
    <mergeCell ref="C19:F19"/>
    <mergeCell ref="D20:F20"/>
    <mergeCell ref="D21:F21"/>
    <mergeCell ref="D22:F22"/>
    <mergeCell ref="G54:H54"/>
    <mergeCell ref="E57:F57"/>
    <mergeCell ref="B57:D57"/>
    <mergeCell ref="B52:D52"/>
    <mergeCell ref="B56:D56"/>
    <mergeCell ref="E56:F56"/>
    <mergeCell ref="B54:D54"/>
    <mergeCell ref="E54:F54"/>
    <mergeCell ref="C35:D35"/>
    <mergeCell ref="E35:F35"/>
    <mergeCell ref="G35:H35"/>
    <mergeCell ref="B34:H34"/>
    <mergeCell ref="B35:B36"/>
    <mergeCell ref="C9:F9"/>
    <mergeCell ref="B12:C12"/>
    <mergeCell ref="B13:C13"/>
    <mergeCell ref="B14:C14"/>
    <mergeCell ref="B15:C15"/>
    <mergeCell ref="E12:F12"/>
    <mergeCell ref="E13:F13"/>
    <mergeCell ref="E14:F14"/>
    <mergeCell ref="E15:F1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boBox1">
          <controlPr defaultSize="0" autoLine="0" linkedCell="D12" listFillRange="POLIZARIO!B9:B19" r:id="rId5">
            <anchor moveWithCells="1">
              <from>
                <xdr:col>5</xdr:col>
                <xdr:colOff>0</xdr:colOff>
                <xdr:row>3</xdr:row>
                <xdr:rowOff>88900</xdr:rowOff>
              </from>
              <to>
                <xdr:col>6</xdr:col>
                <xdr:colOff>177800</xdr:colOff>
                <xdr:row>5</xdr:row>
                <xdr:rowOff>12700</xdr:rowOff>
              </to>
            </anchor>
          </controlPr>
        </control>
      </mc:Choice>
      <mc:Fallback>
        <control shapeId="1028" r:id="rId4" name="ComboBox1"/>
      </mc:Fallback>
    </mc:AlternateContent>
    <mc:AlternateContent xmlns:mc="http://schemas.openxmlformats.org/markup-compatibility/2006">
      <mc:Choice Requires="x14">
        <control shapeId="1027" r:id="rId6" name="CommandButton1">
          <controlPr defaultSize="0" autoLine="0" autoPict="0" r:id="rId7">
            <anchor moveWithCells="1">
              <from>
                <xdr:col>6</xdr:col>
                <xdr:colOff>755650</xdr:colOff>
                <xdr:row>3</xdr:row>
                <xdr:rowOff>12700</xdr:rowOff>
              </from>
              <to>
                <xdr:col>7</xdr:col>
                <xdr:colOff>647700</xdr:colOff>
                <xdr:row>5</xdr:row>
                <xdr:rowOff>38100</xdr:rowOff>
              </to>
            </anchor>
          </controlPr>
        </control>
      </mc:Choice>
      <mc:Fallback>
        <control shapeId="1027" r:id="rId6" name="CommandButton1"/>
      </mc:Fallback>
    </mc:AlternateContent>
    <mc:AlternateContent xmlns:mc="http://schemas.openxmlformats.org/markup-compatibility/2006">
      <mc:Choice Requires="x14">
        <control shapeId="1031" r:id="rId8" name="Button 7">
          <controlPr defaultSize="0" print="0" autoFill="0" autoPict="0" macro="[0]!Tarifa">
            <anchor moveWithCells="1" sizeWithCells="1">
              <from>
                <xdr:col>3</xdr:col>
                <xdr:colOff>260350</xdr:colOff>
                <xdr:row>1</xdr:row>
                <xdr:rowOff>38100</xdr:rowOff>
              </from>
              <to>
                <xdr:col>3</xdr:col>
                <xdr:colOff>577850</xdr:colOff>
                <xdr:row>3</xdr:row>
                <xdr:rowOff>19050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C5D2C-6C7E-4A3C-B493-E5D3401A9505}">
  <sheetPr codeName="Hoja5"/>
  <dimension ref="A1:M267"/>
  <sheetViews>
    <sheetView zoomScale="80" zoomScaleNormal="80" workbookViewId="0">
      <selection activeCell="K1" sqref="K1"/>
    </sheetView>
  </sheetViews>
  <sheetFormatPr baseColWidth="10" defaultRowHeight="14.5" x14ac:dyDescent="0.35"/>
  <cols>
    <col min="1" max="1" width="8.08984375" style="17" bestFit="1" customWidth="1"/>
    <col min="2" max="2" width="9.08984375" style="17" bestFit="1" customWidth="1"/>
    <col min="3" max="3" width="5.36328125" style="17" bestFit="1" customWidth="1"/>
    <col min="4" max="4" width="11.7265625" style="17" customWidth="1"/>
    <col min="5" max="6" width="10.90625" style="17" hidden="1" customWidth="1"/>
    <col min="7" max="7" width="12.90625" style="18" customWidth="1"/>
    <col min="8" max="8" width="13.453125" style="18" customWidth="1"/>
    <col min="9" max="9" width="16.1796875" style="29" hidden="1" customWidth="1"/>
    <col min="10" max="10" width="13.54296875" style="18" customWidth="1"/>
    <col min="11" max="11" width="14" style="18" customWidth="1"/>
    <col min="12" max="12" width="10.90625" style="17"/>
    <col min="13" max="13" width="42" style="17" customWidth="1"/>
    <col min="14" max="16384" width="10.90625" style="17"/>
  </cols>
  <sheetData>
    <row r="1" spans="1:13" x14ac:dyDescent="0.35">
      <c r="A1" s="20" t="s">
        <v>83</v>
      </c>
      <c r="B1" s="21" t="s">
        <v>85</v>
      </c>
      <c r="C1" s="20" t="s">
        <v>89</v>
      </c>
      <c r="D1" s="21" t="s">
        <v>45</v>
      </c>
      <c r="E1" s="22" t="s">
        <v>43</v>
      </c>
      <c r="F1" s="22" t="s">
        <v>44</v>
      </c>
      <c r="G1" s="27" t="s">
        <v>50</v>
      </c>
      <c r="H1" s="27" t="s">
        <v>51</v>
      </c>
      <c r="I1" s="28" t="s">
        <v>46</v>
      </c>
      <c r="J1" s="27" t="s">
        <v>52</v>
      </c>
      <c r="K1" s="27" t="s">
        <v>53</v>
      </c>
      <c r="M1" s="23" t="s">
        <v>54</v>
      </c>
    </row>
    <row r="2" spans="1:13" ht="29" x14ac:dyDescent="0.35">
      <c r="A2" s="17">
        <v>1095</v>
      </c>
      <c r="B2" s="17" t="s">
        <v>31</v>
      </c>
      <c r="C2" s="17">
        <v>1</v>
      </c>
      <c r="D2" s="17" t="s">
        <v>5</v>
      </c>
      <c r="E2" s="17">
        <v>0</v>
      </c>
      <c r="F2" s="17">
        <v>4</v>
      </c>
      <c r="G2" s="18">
        <v>1210</v>
      </c>
      <c r="H2" s="18">
        <v>1095</v>
      </c>
      <c r="I2" s="29">
        <v>0.03</v>
      </c>
      <c r="J2" s="18">
        <v>1246</v>
      </c>
      <c r="K2" s="18">
        <v>1128</v>
      </c>
      <c r="M2" s="24" t="s">
        <v>55</v>
      </c>
    </row>
    <row r="3" spans="1:13" ht="29" x14ac:dyDescent="0.35">
      <c r="A3" s="17">
        <v>1095</v>
      </c>
      <c r="B3" s="17" t="s">
        <v>31</v>
      </c>
      <c r="C3" s="17">
        <v>1</v>
      </c>
      <c r="D3" s="17" t="s">
        <v>6</v>
      </c>
      <c r="E3" s="17">
        <v>5</v>
      </c>
      <c r="F3" s="17">
        <v>9</v>
      </c>
      <c r="G3" s="18">
        <v>1340</v>
      </c>
      <c r="H3" s="18">
        <v>1225</v>
      </c>
      <c r="I3" s="29">
        <v>0.03</v>
      </c>
      <c r="J3" s="18">
        <v>1380</v>
      </c>
      <c r="K3" s="18">
        <v>1262</v>
      </c>
      <c r="M3" s="24" t="s">
        <v>56</v>
      </c>
    </row>
    <row r="4" spans="1:13" ht="29" x14ac:dyDescent="0.35">
      <c r="A4" s="17">
        <v>1095</v>
      </c>
      <c r="B4" s="17" t="s">
        <v>31</v>
      </c>
      <c r="C4" s="17">
        <v>1</v>
      </c>
      <c r="D4" s="17" t="s">
        <v>7</v>
      </c>
      <c r="E4" s="17">
        <v>10</v>
      </c>
      <c r="F4" s="17">
        <v>14</v>
      </c>
      <c r="G4" s="18">
        <v>1535</v>
      </c>
      <c r="H4" s="18">
        <v>1435</v>
      </c>
      <c r="I4" s="29">
        <v>0.03</v>
      </c>
      <c r="J4" s="18">
        <v>1581</v>
      </c>
      <c r="K4" s="18">
        <v>1478</v>
      </c>
      <c r="M4" s="24" t="s">
        <v>57</v>
      </c>
    </row>
    <row r="5" spans="1:13" ht="29" x14ac:dyDescent="0.35">
      <c r="A5" s="17">
        <v>1095</v>
      </c>
      <c r="B5" s="17" t="s">
        <v>31</v>
      </c>
      <c r="C5" s="17">
        <v>1</v>
      </c>
      <c r="D5" s="17" t="s">
        <v>8</v>
      </c>
      <c r="E5" s="17">
        <v>15</v>
      </c>
      <c r="F5" s="17">
        <v>19</v>
      </c>
      <c r="G5" s="18">
        <v>1725</v>
      </c>
      <c r="H5" s="18">
        <v>1620</v>
      </c>
      <c r="I5" s="29">
        <v>0.03</v>
      </c>
      <c r="J5" s="18">
        <v>1777</v>
      </c>
      <c r="K5" s="18">
        <v>1669</v>
      </c>
      <c r="M5" s="24" t="s">
        <v>58</v>
      </c>
    </row>
    <row r="6" spans="1:13" ht="29" x14ac:dyDescent="0.35">
      <c r="A6" s="17">
        <v>1095</v>
      </c>
      <c r="B6" s="17" t="s">
        <v>31</v>
      </c>
      <c r="C6" s="17">
        <v>1</v>
      </c>
      <c r="D6" s="17" t="s">
        <v>9</v>
      </c>
      <c r="E6" s="17">
        <v>20</v>
      </c>
      <c r="F6" s="17">
        <v>24</v>
      </c>
      <c r="G6" s="18">
        <v>1960</v>
      </c>
      <c r="H6" s="18">
        <v>1815</v>
      </c>
      <c r="I6" s="29">
        <v>0.03</v>
      </c>
      <c r="J6" s="18">
        <v>2019</v>
      </c>
      <c r="K6" s="18">
        <v>1869</v>
      </c>
      <c r="M6" s="24" t="s">
        <v>59</v>
      </c>
    </row>
    <row r="7" spans="1:13" ht="29" x14ac:dyDescent="0.35">
      <c r="A7" s="17">
        <v>1095</v>
      </c>
      <c r="B7" s="17" t="s">
        <v>31</v>
      </c>
      <c r="C7" s="17">
        <v>1</v>
      </c>
      <c r="D7" s="17" t="s">
        <v>10</v>
      </c>
      <c r="E7" s="17">
        <v>25</v>
      </c>
      <c r="F7" s="17">
        <v>29</v>
      </c>
      <c r="G7" s="18">
        <v>2260</v>
      </c>
      <c r="H7" s="18">
        <v>2040</v>
      </c>
      <c r="I7" s="29">
        <v>0.03</v>
      </c>
      <c r="J7" s="18">
        <v>2328</v>
      </c>
      <c r="K7" s="18">
        <v>2101</v>
      </c>
      <c r="M7" s="24" t="s">
        <v>60</v>
      </c>
    </row>
    <row r="8" spans="1:13" x14ac:dyDescent="0.35">
      <c r="A8" s="17">
        <v>1095</v>
      </c>
      <c r="B8" s="17" t="s">
        <v>31</v>
      </c>
      <c r="C8" s="17">
        <v>1</v>
      </c>
      <c r="D8" s="17" t="s">
        <v>11</v>
      </c>
      <c r="E8" s="17">
        <v>30</v>
      </c>
      <c r="F8" s="17">
        <v>34</v>
      </c>
      <c r="G8" s="18">
        <v>2640</v>
      </c>
      <c r="H8" s="18">
        <v>2385</v>
      </c>
      <c r="I8" s="29">
        <v>0.03</v>
      </c>
      <c r="J8" s="18">
        <v>2719</v>
      </c>
      <c r="K8" s="18">
        <v>2457</v>
      </c>
    </row>
    <row r="9" spans="1:13" x14ac:dyDescent="0.35">
      <c r="A9" s="17">
        <v>1095</v>
      </c>
      <c r="B9" s="17" t="s">
        <v>31</v>
      </c>
      <c r="C9" s="17">
        <v>1</v>
      </c>
      <c r="D9" s="17" t="s">
        <v>12</v>
      </c>
      <c r="E9" s="17">
        <v>35</v>
      </c>
      <c r="F9" s="17">
        <v>39</v>
      </c>
      <c r="G9" s="18">
        <v>3090</v>
      </c>
      <c r="H9" s="18">
        <v>2830</v>
      </c>
      <c r="I9" s="29">
        <v>0.03</v>
      </c>
      <c r="J9" s="18">
        <v>3183</v>
      </c>
      <c r="K9" s="18">
        <v>2915</v>
      </c>
    </row>
    <row r="10" spans="1:13" x14ac:dyDescent="0.35">
      <c r="A10" s="17">
        <v>1095</v>
      </c>
      <c r="B10" s="17" t="s">
        <v>31</v>
      </c>
      <c r="C10" s="17">
        <v>1</v>
      </c>
      <c r="D10" s="17" t="s">
        <v>13</v>
      </c>
      <c r="E10" s="17">
        <v>40</v>
      </c>
      <c r="F10" s="17">
        <v>44</v>
      </c>
      <c r="G10" s="18">
        <v>3610</v>
      </c>
      <c r="H10" s="18">
        <v>3370</v>
      </c>
      <c r="I10" s="29">
        <v>0.03</v>
      </c>
      <c r="J10" s="18">
        <v>3718</v>
      </c>
      <c r="K10" s="18">
        <v>3471</v>
      </c>
    </row>
    <row r="11" spans="1:13" x14ac:dyDescent="0.35">
      <c r="A11" s="17">
        <v>1095</v>
      </c>
      <c r="B11" s="17" t="s">
        <v>31</v>
      </c>
      <c r="C11" s="17">
        <v>1</v>
      </c>
      <c r="D11" s="17" t="s">
        <v>14</v>
      </c>
      <c r="E11" s="17">
        <v>45</v>
      </c>
      <c r="F11" s="17">
        <v>49</v>
      </c>
      <c r="G11" s="18">
        <v>4310</v>
      </c>
      <c r="H11" s="18">
        <v>3975</v>
      </c>
      <c r="I11" s="29">
        <v>0.03</v>
      </c>
      <c r="J11" s="18">
        <v>4439</v>
      </c>
      <c r="K11" s="18">
        <v>4094</v>
      </c>
    </row>
    <row r="12" spans="1:13" x14ac:dyDescent="0.35">
      <c r="A12" s="17">
        <v>1095</v>
      </c>
      <c r="B12" s="17" t="s">
        <v>31</v>
      </c>
      <c r="C12" s="17">
        <v>1</v>
      </c>
      <c r="D12" s="17" t="s">
        <v>15</v>
      </c>
      <c r="E12" s="17">
        <v>50</v>
      </c>
      <c r="F12" s="17">
        <v>54</v>
      </c>
      <c r="G12" s="18">
        <v>5125</v>
      </c>
      <c r="H12" s="18">
        <v>4780</v>
      </c>
      <c r="I12" s="29">
        <v>0.03</v>
      </c>
      <c r="J12" s="18">
        <v>5279</v>
      </c>
      <c r="K12" s="18">
        <v>4923</v>
      </c>
    </row>
    <row r="13" spans="1:13" x14ac:dyDescent="0.35">
      <c r="A13" s="17">
        <v>1095</v>
      </c>
      <c r="B13" s="17" t="s">
        <v>31</v>
      </c>
      <c r="C13" s="17">
        <v>1</v>
      </c>
      <c r="D13" s="17" t="s">
        <v>16</v>
      </c>
      <c r="E13" s="17">
        <v>55</v>
      </c>
      <c r="F13" s="17">
        <v>59</v>
      </c>
      <c r="G13" s="18">
        <v>5960</v>
      </c>
      <c r="H13" s="18">
        <v>5580</v>
      </c>
      <c r="I13" s="29">
        <v>0.03</v>
      </c>
      <c r="J13" s="18">
        <v>6139</v>
      </c>
      <c r="K13" s="18">
        <v>5747</v>
      </c>
    </row>
    <row r="14" spans="1:13" x14ac:dyDescent="0.35">
      <c r="A14" s="17">
        <v>1095</v>
      </c>
      <c r="B14" s="17" t="s">
        <v>31</v>
      </c>
      <c r="C14" s="17">
        <v>1</v>
      </c>
      <c r="D14" s="17" t="s">
        <v>17</v>
      </c>
      <c r="E14" s="17">
        <v>60</v>
      </c>
      <c r="F14" s="17">
        <v>64</v>
      </c>
      <c r="G14" s="18">
        <v>6810</v>
      </c>
      <c r="H14" s="18">
        <v>6410</v>
      </c>
      <c r="I14" s="29">
        <v>0.03</v>
      </c>
      <c r="J14" s="18">
        <v>7014</v>
      </c>
      <c r="K14" s="18">
        <v>6602</v>
      </c>
    </row>
    <row r="15" spans="1:13" x14ac:dyDescent="0.35">
      <c r="A15" s="17">
        <v>1095</v>
      </c>
      <c r="B15" s="17" t="s">
        <v>31</v>
      </c>
      <c r="C15" s="17">
        <v>1</v>
      </c>
      <c r="D15" s="17" t="s">
        <v>18</v>
      </c>
      <c r="E15" s="17">
        <v>65</v>
      </c>
      <c r="F15" s="17">
        <v>69</v>
      </c>
      <c r="G15" s="18">
        <v>7480</v>
      </c>
      <c r="H15" s="18">
        <v>7040</v>
      </c>
      <c r="I15" s="29">
        <v>0.03</v>
      </c>
      <c r="J15" s="18">
        <v>7704</v>
      </c>
      <c r="K15" s="18">
        <v>7251</v>
      </c>
    </row>
    <row r="16" spans="1:13" x14ac:dyDescent="0.35">
      <c r="A16" s="17">
        <v>1234</v>
      </c>
      <c r="B16" s="17" t="s">
        <v>32</v>
      </c>
      <c r="C16" s="17">
        <v>1</v>
      </c>
      <c r="D16" s="17" t="s">
        <v>5</v>
      </c>
      <c r="E16" s="17">
        <v>0</v>
      </c>
      <c r="F16" s="17">
        <v>4</v>
      </c>
      <c r="G16" s="18">
        <v>1260</v>
      </c>
      <c r="H16" s="18">
        <v>1155</v>
      </c>
      <c r="I16" s="29">
        <v>0.05</v>
      </c>
      <c r="J16" s="18">
        <v>1323</v>
      </c>
      <c r="K16" s="18">
        <v>1213</v>
      </c>
    </row>
    <row r="17" spans="1:11" x14ac:dyDescent="0.35">
      <c r="A17" s="17">
        <v>1234</v>
      </c>
      <c r="B17" s="17" t="s">
        <v>32</v>
      </c>
      <c r="C17" s="17">
        <v>1</v>
      </c>
      <c r="D17" s="17" t="s">
        <v>6</v>
      </c>
      <c r="E17" s="17">
        <v>5</v>
      </c>
      <c r="F17" s="17">
        <v>9</v>
      </c>
      <c r="G17" s="18">
        <v>1375</v>
      </c>
      <c r="H17" s="18">
        <v>1285</v>
      </c>
      <c r="I17" s="29">
        <v>0.05</v>
      </c>
      <c r="J17" s="18">
        <v>1444</v>
      </c>
      <c r="K17" s="18">
        <v>1349</v>
      </c>
    </row>
    <row r="18" spans="1:11" x14ac:dyDescent="0.35">
      <c r="A18" s="17">
        <v>1234</v>
      </c>
      <c r="B18" s="17" t="s">
        <v>32</v>
      </c>
      <c r="C18" s="17">
        <v>1</v>
      </c>
      <c r="D18" s="17" t="s">
        <v>7</v>
      </c>
      <c r="E18" s="17">
        <v>10</v>
      </c>
      <c r="F18" s="17">
        <v>14</v>
      </c>
      <c r="G18" s="18">
        <v>1585</v>
      </c>
      <c r="H18" s="18">
        <v>1490</v>
      </c>
      <c r="I18" s="29">
        <v>0.05</v>
      </c>
      <c r="J18" s="18">
        <v>1664</v>
      </c>
      <c r="K18" s="18">
        <v>1564</v>
      </c>
    </row>
    <row r="19" spans="1:11" x14ac:dyDescent="0.35">
      <c r="A19" s="17">
        <v>1234</v>
      </c>
      <c r="B19" s="17" t="s">
        <v>32</v>
      </c>
      <c r="C19" s="17">
        <v>1</v>
      </c>
      <c r="D19" s="17" t="s">
        <v>8</v>
      </c>
      <c r="E19" s="17">
        <v>15</v>
      </c>
      <c r="F19" s="17">
        <v>19</v>
      </c>
      <c r="G19" s="18">
        <v>1810</v>
      </c>
      <c r="H19" s="18">
        <v>1695</v>
      </c>
      <c r="I19" s="29">
        <v>0.05</v>
      </c>
      <c r="J19" s="18">
        <v>1900</v>
      </c>
      <c r="K19" s="18">
        <v>1780</v>
      </c>
    </row>
    <row r="20" spans="1:11" x14ac:dyDescent="0.35">
      <c r="A20" s="17">
        <v>1234</v>
      </c>
      <c r="B20" s="17" t="s">
        <v>32</v>
      </c>
      <c r="C20" s="17">
        <v>1</v>
      </c>
      <c r="D20" s="17" t="s">
        <v>9</v>
      </c>
      <c r="E20" s="17">
        <v>20</v>
      </c>
      <c r="F20" s="17">
        <v>24</v>
      </c>
      <c r="G20" s="18">
        <v>2035</v>
      </c>
      <c r="H20" s="18">
        <v>1905</v>
      </c>
      <c r="I20" s="29">
        <v>0.05</v>
      </c>
      <c r="J20" s="18">
        <v>2137</v>
      </c>
      <c r="K20" s="18">
        <v>2000</v>
      </c>
    </row>
    <row r="21" spans="1:11" x14ac:dyDescent="0.35">
      <c r="A21" s="17">
        <v>1234</v>
      </c>
      <c r="B21" s="17" t="s">
        <v>32</v>
      </c>
      <c r="C21" s="17">
        <v>1</v>
      </c>
      <c r="D21" s="17" t="s">
        <v>10</v>
      </c>
      <c r="E21" s="17">
        <v>25</v>
      </c>
      <c r="F21" s="17">
        <v>29</v>
      </c>
      <c r="G21" s="18">
        <v>2360</v>
      </c>
      <c r="H21" s="18">
        <v>2145</v>
      </c>
      <c r="I21" s="29">
        <v>0.05</v>
      </c>
      <c r="J21" s="18">
        <v>2478</v>
      </c>
      <c r="K21" s="18">
        <v>2252</v>
      </c>
    </row>
    <row r="22" spans="1:11" x14ac:dyDescent="0.35">
      <c r="A22" s="17">
        <v>1234</v>
      </c>
      <c r="B22" s="17" t="s">
        <v>32</v>
      </c>
      <c r="C22" s="17">
        <v>1</v>
      </c>
      <c r="D22" s="17" t="s">
        <v>11</v>
      </c>
      <c r="E22" s="17">
        <v>30</v>
      </c>
      <c r="F22" s="17">
        <v>34</v>
      </c>
      <c r="G22" s="18">
        <v>2795</v>
      </c>
      <c r="H22" s="18">
        <v>2535</v>
      </c>
      <c r="I22" s="29">
        <v>0.05</v>
      </c>
      <c r="J22" s="18">
        <v>2935</v>
      </c>
      <c r="K22" s="18">
        <v>2662</v>
      </c>
    </row>
    <row r="23" spans="1:11" x14ac:dyDescent="0.35">
      <c r="A23" s="17">
        <v>1234</v>
      </c>
      <c r="B23" s="17" t="s">
        <v>32</v>
      </c>
      <c r="C23" s="17">
        <v>1</v>
      </c>
      <c r="D23" s="17" t="s">
        <v>12</v>
      </c>
      <c r="E23" s="17">
        <v>35</v>
      </c>
      <c r="F23" s="17">
        <v>39</v>
      </c>
      <c r="G23" s="18">
        <v>3240</v>
      </c>
      <c r="H23" s="18">
        <v>2960</v>
      </c>
      <c r="I23" s="29">
        <v>0.05</v>
      </c>
      <c r="J23" s="18">
        <v>3402</v>
      </c>
      <c r="K23" s="18">
        <v>3108</v>
      </c>
    </row>
    <row r="24" spans="1:11" x14ac:dyDescent="0.35">
      <c r="A24" s="17">
        <v>1234</v>
      </c>
      <c r="B24" s="17" t="s">
        <v>32</v>
      </c>
      <c r="C24" s="17">
        <v>1</v>
      </c>
      <c r="D24" s="17" t="s">
        <v>13</v>
      </c>
      <c r="E24" s="17">
        <v>40</v>
      </c>
      <c r="F24" s="17">
        <v>44</v>
      </c>
      <c r="G24" s="18">
        <v>3860</v>
      </c>
      <c r="H24" s="18">
        <v>3520</v>
      </c>
      <c r="I24" s="29">
        <v>0.05</v>
      </c>
      <c r="J24" s="18">
        <v>4053</v>
      </c>
      <c r="K24" s="18">
        <v>3696</v>
      </c>
    </row>
    <row r="25" spans="1:11" x14ac:dyDescent="0.35">
      <c r="A25" s="17">
        <v>1234</v>
      </c>
      <c r="B25" s="17" t="s">
        <v>32</v>
      </c>
      <c r="C25" s="17">
        <v>1</v>
      </c>
      <c r="D25" s="17" t="s">
        <v>14</v>
      </c>
      <c r="E25" s="17">
        <v>45</v>
      </c>
      <c r="F25" s="17">
        <v>49</v>
      </c>
      <c r="G25" s="18">
        <v>4515</v>
      </c>
      <c r="H25" s="18">
        <v>4180</v>
      </c>
      <c r="I25" s="29">
        <v>0.05</v>
      </c>
      <c r="J25" s="18">
        <v>4741</v>
      </c>
      <c r="K25" s="18">
        <v>4389</v>
      </c>
    </row>
    <row r="26" spans="1:11" x14ac:dyDescent="0.35">
      <c r="A26" s="17">
        <v>1234</v>
      </c>
      <c r="B26" s="17" t="s">
        <v>32</v>
      </c>
      <c r="C26" s="17">
        <v>1</v>
      </c>
      <c r="D26" s="17" t="s">
        <v>15</v>
      </c>
      <c r="E26" s="17">
        <v>50</v>
      </c>
      <c r="F26" s="17">
        <v>54</v>
      </c>
      <c r="G26" s="18">
        <v>5360</v>
      </c>
      <c r="H26" s="18">
        <v>5015</v>
      </c>
      <c r="I26" s="29">
        <v>0.05</v>
      </c>
      <c r="J26" s="18">
        <v>5628</v>
      </c>
      <c r="K26" s="18">
        <v>5266</v>
      </c>
    </row>
    <row r="27" spans="1:11" x14ac:dyDescent="0.35">
      <c r="A27" s="17">
        <v>1234</v>
      </c>
      <c r="B27" s="17" t="s">
        <v>32</v>
      </c>
      <c r="C27" s="17">
        <v>1</v>
      </c>
      <c r="D27" s="17" t="s">
        <v>16</v>
      </c>
      <c r="E27" s="17">
        <v>55</v>
      </c>
      <c r="F27" s="17">
        <v>59</v>
      </c>
      <c r="G27" s="18">
        <v>6195</v>
      </c>
      <c r="H27" s="18">
        <v>5840</v>
      </c>
      <c r="I27" s="29">
        <v>0.05</v>
      </c>
      <c r="J27" s="18">
        <v>6505</v>
      </c>
      <c r="K27" s="18">
        <v>6132</v>
      </c>
    </row>
    <row r="28" spans="1:11" x14ac:dyDescent="0.35">
      <c r="A28" s="17">
        <v>1234</v>
      </c>
      <c r="B28" s="17" t="s">
        <v>32</v>
      </c>
      <c r="C28" s="17">
        <v>1</v>
      </c>
      <c r="D28" s="17" t="s">
        <v>17</v>
      </c>
      <c r="E28" s="17">
        <v>60</v>
      </c>
      <c r="F28" s="17">
        <v>64</v>
      </c>
      <c r="G28" s="18">
        <v>7060</v>
      </c>
      <c r="H28" s="18">
        <v>6650</v>
      </c>
      <c r="I28" s="29">
        <v>0.05</v>
      </c>
      <c r="J28" s="18">
        <v>7413</v>
      </c>
      <c r="K28" s="18">
        <v>6982</v>
      </c>
    </row>
    <row r="29" spans="1:11" x14ac:dyDescent="0.35">
      <c r="A29" s="17">
        <v>1234</v>
      </c>
      <c r="B29" s="17" t="s">
        <v>32</v>
      </c>
      <c r="C29" s="17">
        <v>1</v>
      </c>
      <c r="D29" s="17" t="s">
        <v>18</v>
      </c>
      <c r="E29" s="17">
        <v>65</v>
      </c>
      <c r="F29" s="17">
        <v>69</v>
      </c>
      <c r="G29" s="18">
        <v>7825</v>
      </c>
      <c r="H29" s="18">
        <v>7350</v>
      </c>
      <c r="I29" s="29">
        <v>0.05</v>
      </c>
      <c r="J29" s="18">
        <v>8216</v>
      </c>
      <c r="K29" s="18">
        <v>7718</v>
      </c>
    </row>
    <row r="30" spans="1:11" x14ac:dyDescent="0.35">
      <c r="A30" s="17">
        <v>1234</v>
      </c>
      <c r="B30" s="17" t="s">
        <v>32</v>
      </c>
      <c r="C30" s="17">
        <v>2</v>
      </c>
      <c r="D30" s="17" t="s">
        <v>5</v>
      </c>
      <c r="E30" s="17">
        <v>0</v>
      </c>
      <c r="F30" s="17">
        <v>4</v>
      </c>
      <c r="G30" s="18">
        <v>1240</v>
      </c>
      <c r="H30" s="18">
        <v>1140</v>
      </c>
      <c r="I30" s="29">
        <v>0.05</v>
      </c>
      <c r="J30" s="18">
        <v>1302</v>
      </c>
      <c r="K30" s="18">
        <v>1197</v>
      </c>
    </row>
    <row r="31" spans="1:11" x14ac:dyDescent="0.35">
      <c r="A31" s="17">
        <v>1234</v>
      </c>
      <c r="B31" s="17" t="s">
        <v>32</v>
      </c>
      <c r="C31" s="17">
        <v>2</v>
      </c>
      <c r="D31" s="17" t="s">
        <v>6</v>
      </c>
      <c r="E31" s="17">
        <v>5</v>
      </c>
      <c r="F31" s="17">
        <v>9</v>
      </c>
      <c r="G31" s="18">
        <v>1355</v>
      </c>
      <c r="H31" s="18">
        <v>1265</v>
      </c>
      <c r="I31" s="29">
        <v>0.05</v>
      </c>
      <c r="J31" s="18">
        <v>1423</v>
      </c>
      <c r="K31" s="18">
        <v>1328</v>
      </c>
    </row>
    <row r="32" spans="1:11" x14ac:dyDescent="0.35">
      <c r="A32" s="17">
        <v>1234</v>
      </c>
      <c r="B32" s="17" t="s">
        <v>32</v>
      </c>
      <c r="C32" s="17">
        <v>2</v>
      </c>
      <c r="D32" s="17" t="s">
        <v>7</v>
      </c>
      <c r="E32" s="17">
        <v>10</v>
      </c>
      <c r="F32" s="17">
        <v>14</v>
      </c>
      <c r="G32" s="18">
        <v>1560</v>
      </c>
      <c r="H32" s="18">
        <v>1470</v>
      </c>
      <c r="I32" s="29">
        <v>0.05</v>
      </c>
      <c r="J32" s="18">
        <v>1638</v>
      </c>
      <c r="K32" s="18">
        <v>1544</v>
      </c>
    </row>
    <row r="33" spans="1:11" x14ac:dyDescent="0.35">
      <c r="A33" s="17">
        <v>1234</v>
      </c>
      <c r="B33" s="17" t="s">
        <v>32</v>
      </c>
      <c r="C33" s="17">
        <v>2</v>
      </c>
      <c r="D33" s="17" t="s">
        <v>8</v>
      </c>
      <c r="E33" s="17">
        <v>15</v>
      </c>
      <c r="F33" s="17">
        <v>19</v>
      </c>
      <c r="G33" s="18">
        <v>1785</v>
      </c>
      <c r="H33" s="18">
        <v>1670</v>
      </c>
      <c r="I33" s="29">
        <v>0.05</v>
      </c>
      <c r="J33" s="18">
        <v>1874</v>
      </c>
      <c r="K33" s="18">
        <v>1754</v>
      </c>
    </row>
    <row r="34" spans="1:11" x14ac:dyDescent="0.35">
      <c r="A34" s="17">
        <v>1234</v>
      </c>
      <c r="B34" s="17" t="s">
        <v>32</v>
      </c>
      <c r="C34" s="17">
        <v>2</v>
      </c>
      <c r="D34" s="17" t="s">
        <v>9</v>
      </c>
      <c r="E34" s="17">
        <v>20</v>
      </c>
      <c r="F34" s="17">
        <v>24</v>
      </c>
      <c r="G34" s="18">
        <v>2005</v>
      </c>
      <c r="H34" s="18">
        <v>1880</v>
      </c>
      <c r="I34" s="29">
        <v>0.05</v>
      </c>
      <c r="J34" s="18">
        <v>2105</v>
      </c>
      <c r="K34" s="18">
        <v>1974</v>
      </c>
    </row>
    <row r="35" spans="1:11" x14ac:dyDescent="0.35">
      <c r="A35" s="17">
        <v>1234</v>
      </c>
      <c r="B35" s="17" t="s">
        <v>32</v>
      </c>
      <c r="C35" s="17">
        <v>2</v>
      </c>
      <c r="D35" s="17" t="s">
        <v>10</v>
      </c>
      <c r="E35" s="17">
        <v>25</v>
      </c>
      <c r="F35" s="17">
        <v>29</v>
      </c>
      <c r="G35" s="18">
        <v>2325</v>
      </c>
      <c r="H35" s="18">
        <v>2115</v>
      </c>
      <c r="I35" s="29">
        <v>0.05</v>
      </c>
      <c r="J35" s="18">
        <v>2441</v>
      </c>
      <c r="K35" s="18">
        <v>2221</v>
      </c>
    </row>
    <row r="36" spans="1:11" x14ac:dyDescent="0.35">
      <c r="A36" s="17">
        <v>1234</v>
      </c>
      <c r="B36" s="17" t="s">
        <v>32</v>
      </c>
      <c r="C36" s="17">
        <v>2</v>
      </c>
      <c r="D36" s="17" t="s">
        <v>11</v>
      </c>
      <c r="E36" s="17">
        <v>30</v>
      </c>
      <c r="F36" s="17">
        <v>34</v>
      </c>
      <c r="G36" s="18">
        <v>2755</v>
      </c>
      <c r="H36" s="18">
        <v>2500</v>
      </c>
      <c r="I36" s="29">
        <v>0.05</v>
      </c>
      <c r="J36" s="18">
        <v>2893</v>
      </c>
      <c r="K36" s="18">
        <v>2625</v>
      </c>
    </row>
    <row r="37" spans="1:11" x14ac:dyDescent="0.35">
      <c r="A37" s="17">
        <v>1234</v>
      </c>
      <c r="B37" s="17" t="s">
        <v>32</v>
      </c>
      <c r="C37" s="17">
        <v>2</v>
      </c>
      <c r="D37" s="17" t="s">
        <v>12</v>
      </c>
      <c r="E37" s="17">
        <v>35</v>
      </c>
      <c r="F37" s="17">
        <v>39</v>
      </c>
      <c r="G37" s="18">
        <v>3195</v>
      </c>
      <c r="H37" s="18">
        <v>2920</v>
      </c>
      <c r="I37" s="29">
        <v>0.05</v>
      </c>
      <c r="J37" s="18">
        <v>3355</v>
      </c>
      <c r="K37" s="18">
        <v>3066</v>
      </c>
    </row>
    <row r="38" spans="1:11" x14ac:dyDescent="0.35">
      <c r="A38" s="17">
        <v>1234</v>
      </c>
      <c r="B38" s="17" t="s">
        <v>32</v>
      </c>
      <c r="C38" s="17">
        <v>2</v>
      </c>
      <c r="D38" s="17" t="s">
        <v>13</v>
      </c>
      <c r="E38" s="17">
        <v>40</v>
      </c>
      <c r="F38" s="17">
        <v>44</v>
      </c>
      <c r="G38" s="18">
        <v>3810</v>
      </c>
      <c r="H38" s="18">
        <v>3475</v>
      </c>
      <c r="I38" s="29">
        <v>0.05</v>
      </c>
      <c r="J38" s="18">
        <v>4000</v>
      </c>
      <c r="K38" s="18">
        <v>3649</v>
      </c>
    </row>
    <row r="39" spans="1:11" x14ac:dyDescent="0.35">
      <c r="A39" s="17">
        <v>1234</v>
      </c>
      <c r="B39" s="17" t="s">
        <v>32</v>
      </c>
      <c r="C39" s="17">
        <v>2</v>
      </c>
      <c r="D39" s="17" t="s">
        <v>14</v>
      </c>
      <c r="E39" s="17">
        <v>45</v>
      </c>
      <c r="F39" s="17">
        <v>49</v>
      </c>
      <c r="G39" s="18">
        <v>4455</v>
      </c>
      <c r="H39" s="18">
        <v>4125</v>
      </c>
      <c r="I39" s="29">
        <v>0.05</v>
      </c>
      <c r="J39" s="18">
        <v>4678</v>
      </c>
      <c r="K39" s="18">
        <v>4331</v>
      </c>
    </row>
    <row r="40" spans="1:11" x14ac:dyDescent="0.35">
      <c r="A40" s="17">
        <v>1234</v>
      </c>
      <c r="B40" s="17" t="s">
        <v>32</v>
      </c>
      <c r="C40" s="17">
        <v>2</v>
      </c>
      <c r="D40" s="17" t="s">
        <v>15</v>
      </c>
      <c r="E40" s="17">
        <v>50</v>
      </c>
      <c r="F40" s="17">
        <v>54</v>
      </c>
      <c r="G40" s="18">
        <v>5290</v>
      </c>
      <c r="H40" s="18">
        <v>4950</v>
      </c>
      <c r="I40" s="29">
        <v>0.05</v>
      </c>
      <c r="J40" s="18">
        <v>5554</v>
      </c>
      <c r="K40" s="18">
        <v>5198</v>
      </c>
    </row>
    <row r="41" spans="1:11" x14ac:dyDescent="0.35">
      <c r="A41" s="17">
        <v>1234</v>
      </c>
      <c r="B41" s="17" t="s">
        <v>32</v>
      </c>
      <c r="C41" s="17">
        <v>2</v>
      </c>
      <c r="D41" s="17" t="s">
        <v>16</v>
      </c>
      <c r="E41" s="17">
        <v>55</v>
      </c>
      <c r="F41" s="17">
        <v>59</v>
      </c>
      <c r="G41" s="18">
        <v>6120</v>
      </c>
      <c r="H41" s="18">
        <v>5765</v>
      </c>
      <c r="I41" s="29">
        <v>0.05</v>
      </c>
      <c r="J41" s="18">
        <v>6426</v>
      </c>
      <c r="K41" s="18">
        <v>6053</v>
      </c>
    </row>
    <row r="42" spans="1:11" x14ac:dyDescent="0.35">
      <c r="A42" s="17">
        <v>1234</v>
      </c>
      <c r="B42" s="17" t="s">
        <v>32</v>
      </c>
      <c r="C42" s="17">
        <v>2</v>
      </c>
      <c r="D42" s="17" t="s">
        <v>17</v>
      </c>
      <c r="E42" s="17">
        <v>60</v>
      </c>
      <c r="F42" s="17">
        <v>64</v>
      </c>
      <c r="G42" s="18">
        <v>6975</v>
      </c>
      <c r="H42" s="18">
        <v>6570</v>
      </c>
      <c r="I42" s="29">
        <v>0.05</v>
      </c>
      <c r="J42" s="18">
        <v>7324</v>
      </c>
      <c r="K42" s="18">
        <v>6898</v>
      </c>
    </row>
    <row r="43" spans="1:11" x14ac:dyDescent="0.35">
      <c r="A43" s="17">
        <v>1234</v>
      </c>
      <c r="B43" s="17" t="s">
        <v>32</v>
      </c>
      <c r="C43" s="17">
        <v>2</v>
      </c>
      <c r="D43" s="17" t="s">
        <v>18</v>
      </c>
      <c r="E43" s="17">
        <v>65</v>
      </c>
      <c r="F43" s="17">
        <v>69</v>
      </c>
      <c r="G43" s="18">
        <v>7730</v>
      </c>
      <c r="H43" s="18">
        <v>7260</v>
      </c>
      <c r="I43" s="29">
        <v>0.05</v>
      </c>
      <c r="J43" s="18">
        <v>8116</v>
      </c>
      <c r="K43" s="18">
        <v>7623</v>
      </c>
    </row>
    <row r="44" spans="1:11" x14ac:dyDescent="0.35">
      <c r="A44" s="17">
        <v>1234</v>
      </c>
      <c r="B44" s="17" t="s">
        <v>32</v>
      </c>
      <c r="C44" s="17">
        <v>3</v>
      </c>
      <c r="D44" s="17" t="s">
        <v>5</v>
      </c>
      <c r="E44" s="17">
        <v>0</v>
      </c>
      <c r="F44" s="17">
        <v>4</v>
      </c>
      <c r="G44" s="18">
        <v>1290</v>
      </c>
      <c r="H44" s="18">
        <v>1185</v>
      </c>
      <c r="I44" s="29">
        <v>0.05</v>
      </c>
      <c r="J44" s="18">
        <v>1354</v>
      </c>
      <c r="K44" s="18">
        <v>1244</v>
      </c>
    </row>
    <row r="45" spans="1:11" x14ac:dyDescent="0.35">
      <c r="A45" s="17">
        <v>1234</v>
      </c>
      <c r="B45" s="17" t="s">
        <v>32</v>
      </c>
      <c r="C45" s="17">
        <v>3</v>
      </c>
      <c r="D45" s="17" t="s">
        <v>6</v>
      </c>
      <c r="E45" s="17">
        <v>5</v>
      </c>
      <c r="F45" s="17">
        <v>9</v>
      </c>
      <c r="G45" s="18">
        <v>1410</v>
      </c>
      <c r="H45" s="18">
        <v>1320</v>
      </c>
      <c r="I45" s="29">
        <v>0.05</v>
      </c>
      <c r="J45" s="18">
        <v>1480</v>
      </c>
      <c r="K45" s="18">
        <v>1386</v>
      </c>
    </row>
    <row r="46" spans="1:11" x14ac:dyDescent="0.35">
      <c r="A46" s="17">
        <v>1234</v>
      </c>
      <c r="B46" s="17" t="s">
        <v>32</v>
      </c>
      <c r="C46" s="17">
        <v>3</v>
      </c>
      <c r="D46" s="17" t="s">
        <v>7</v>
      </c>
      <c r="E46" s="17">
        <v>10</v>
      </c>
      <c r="F46" s="17">
        <v>14</v>
      </c>
      <c r="G46" s="18">
        <v>1625</v>
      </c>
      <c r="H46" s="18">
        <v>1530</v>
      </c>
      <c r="I46" s="29">
        <v>0.05</v>
      </c>
      <c r="J46" s="18">
        <v>1706</v>
      </c>
      <c r="K46" s="18">
        <v>1606</v>
      </c>
    </row>
    <row r="47" spans="1:11" x14ac:dyDescent="0.35">
      <c r="A47" s="17">
        <v>1234</v>
      </c>
      <c r="B47" s="17" t="s">
        <v>32</v>
      </c>
      <c r="C47" s="17">
        <v>3</v>
      </c>
      <c r="D47" s="17" t="s">
        <v>8</v>
      </c>
      <c r="E47" s="17">
        <v>15</v>
      </c>
      <c r="F47" s="17">
        <v>19</v>
      </c>
      <c r="G47" s="18">
        <v>1860</v>
      </c>
      <c r="H47" s="18">
        <v>1740</v>
      </c>
      <c r="I47" s="29">
        <v>0.05</v>
      </c>
      <c r="J47" s="18">
        <v>1953</v>
      </c>
      <c r="K47" s="18">
        <v>1827</v>
      </c>
    </row>
    <row r="48" spans="1:11" x14ac:dyDescent="0.35">
      <c r="A48" s="17">
        <v>1234</v>
      </c>
      <c r="B48" s="17" t="s">
        <v>32</v>
      </c>
      <c r="C48" s="17">
        <v>3</v>
      </c>
      <c r="D48" s="17" t="s">
        <v>9</v>
      </c>
      <c r="E48" s="17">
        <v>20</v>
      </c>
      <c r="F48" s="17">
        <v>24</v>
      </c>
      <c r="G48" s="18">
        <v>2090</v>
      </c>
      <c r="H48" s="18">
        <v>1955</v>
      </c>
      <c r="I48" s="29">
        <v>0.05</v>
      </c>
      <c r="J48" s="18">
        <v>2194</v>
      </c>
      <c r="K48" s="18">
        <v>2053</v>
      </c>
    </row>
    <row r="49" spans="1:11" x14ac:dyDescent="0.35">
      <c r="A49" s="17">
        <v>1234</v>
      </c>
      <c r="B49" s="17" t="s">
        <v>32</v>
      </c>
      <c r="C49" s="17">
        <v>3</v>
      </c>
      <c r="D49" s="17" t="s">
        <v>10</v>
      </c>
      <c r="E49" s="17">
        <v>25</v>
      </c>
      <c r="F49" s="17">
        <v>29</v>
      </c>
      <c r="G49" s="18">
        <v>2425</v>
      </c>
      <c r="H49" s="18">
        <v>2205</v>
      </c>
      <c r="I49" s="29">
        <v>0.05</v>
      </c>
      <c r="J49" s="18">
        <v>2546</v>
      </c>
      <c r="K49" s="18">
        <v>2315</v>
      </c>
    </row>
    <row r="50" spans="1:11" x14ac:dyDescent="0.35">
      <c r="A50" s="17">
        <v>1234</v>
      </c>
      <c r="B50" s="17" t="s">
        <v>32</v>
      </c>
      <c r="C50" s="17">
        <v>3</v>
      </c>
      <c r="D50" s="17" t="s">
        <v>11</v>
      </c>
      <c r="E50" s="17">
        <v>30</v>
      </c>
      <c r="F50" s="17">
        <v>34</v>
      </c>
      <c r="G50" s="18">
        <v>2875</v>
      </c>
      <c r="H50" s="18">
        <v>2605</v>
      </c>
      <c r="I50" s="29">
        <v>0.05</v>
      </c>
      <c r="J50" s="18">
        <v>3019</v>
      </c>
      <c r="K50" s="18">
        <v>2735</v>
      </c>
    </row>
    <row r="51" spans="1:11" x14ac:dyDescent="0.35">
      <c r="A51" s="17">
        <v>1234</v>
      </c>
      <c r="B51" s="17" t="s">
        <v>32</v>
      </c>
      <c r="C51" s="17">
        <v>3</v>
      </c>
      <c r="D51" s="17" t="s">
        <v>12</v>
      </c>
      <c r="E51" s="17">
        <v>35</v>
      </c>
      <c r="F51" s="17">
        <v>39</v>
      </c>
      <c r="G51" s="18">
        <v>3330</v>
      </c>
      <c r="H51" s="18">
        <v>3045</v>
      </c>
      <c r="I51" s="29">
        <v>0.05</v>
      </c>
      <c r="J51" s="18">
        <v>3496</v>
      </c>
      <c r="K51" s="18">
        <v>3197</v>
      </c>
    </row>
    <row r="52" spans="1:11" x14ac:dyDescent="0.35">
      <c r="A52" s="17">
        <v>1234</v>
      </c>
      <c r="B52" s="17" t="s">
        <v>32</v>
      </c>
      <c r="C52" s="17">
        <v>3</v>
      </c>
      <c r="D52" s="17" t="s">
        <v>13</v>
      </c>
      <c r="E52" s="17">
        <v>40</v>
      </c>
      <c r="F52" s="17">
        <v>44</v>
      </c>
      <c r="G52" s="18">
        <v>3970</v>
      </c>
      <c r="H52" s="18">
        <v>3620</v>
      </c>
      <c r="I52" s="29">
        <v>0.05</v>
      </c>
      <c r="J52" s="18">
        <v>4168</v>
      </c>
      <c r="K52" s="18">
        <v>3801</v>
      </c>
    </row>
    <row r="53" spans="1:11" x14ac:dyDescent="0.35">
      <c r="A53" s="17">
        <v>1234</v>
      </c>
      <c r="B53" s="17" t="s">
        <v>32</v>
      </c>
      <c r="C53" s="17">
        <v>3</v>
      </c>
      <c r="D53" s="17" t="s">
        <v>14</v>
      </c>
      <c r="E53" s="17">
        <v>45</v>
      </c>
      <c r="F53" s="17">
        <v>49</v>
      </c>
      <c r="G53" s="18">
        <v>4645</v>
      </c>
      <c r="H53" s="18">
        <v>4300</v>
      </c>
      <c r="I53" s="29">
        <v>0.05</v>
      </c>
      <c r="J53" s="18">
        <v>4877</v>
      </c>
      <c r="K53" s="18">
        <v>4515</v>
      </c>
    </row>
    <row r="54" spans="1:11" x14ac:dyDescent="0.35">
      <c r="A54" s="17">
        <v>1234</v>
      </c>
      <c r="B54" s="17" t="s">
        <v>32</v>
      </c>
      <c r="C54" s="17">
        <v>3</v>
      </c>
      <c r="D54" s="17" t="s">
        <v>15</v>
      </c>
      <c r="E54" s="17">
        <v>50</v>
      </c>
      <c r="F54" s="17">
        <v>54</v>
      </c>
      <c r="G54" s="18">
        <v>5520</v>
      </c>
      <c r="H54" s="18">
        <v>5165</v>
      </c>
      <c r="I54" s="29">
        <v>0.05</v>
      </c>
      <c r="J54" s="18">
        <v>5796</v>
      </c>
      <c r="K54" s="18">
        <v>5423</v>
      </c>
    </row>
    <row r="55" spans="1:11" x14ac:dyDescent="0.35">
      <c r="A55" s="17">
        <v>1234</v>
      </c>
      <c r="B55" s="17" t="s">
        <v>32</v>
      </c>
      <c r="C55" s="17">
        <v>3</v>
      </c>
      <c r="D55" s="17" t="s">
        <v>16</v>
      </c>
      <c r="E55" s="17">
        <v>55</v>
      </c>
      <c r="F55" s="17">
        <v>59</v>
      </c>
      <c r="G55" s="18">
        <v>6380</v>
      </c>
      <c r="H55" s="18">
        <v>6015</v>
      </c>
      <c r="I55" s="29">
        <v>0.05</v>
      </c>
      <c r="J55" s="18">
        <v>6699</v>
      </c>
      <c r="K55" s="18">
        <v>6316</v>
      </c>
    </row>
    <row r="56" spans="1:11" x14ac:dyDescent="0.35">
      <c r="A56" s="17">
        <v>1234</v>
      </c>
      <c r="B56" s="17" t="s">
        <v>32</v>
      </c>
      <c r="C56" s="17">
        <v>3</v>
      </c>
      <c r="D56" s="17" t="s">
        <v>17</v>
      </c>
      <c r="E56" s="17">
        <v>60</v>
      </c>
      <c r="F56" s="17">
        <v>64</v>
      </c>
      <c r="G56" s="18">
        <v>7275</v>
      </c>
      <c r="H56" s="18">
        <v>6855</v>
      </c>
      <c r="I56" s="29">
        <v>0.05</v>
      </c>
      <c r="J56" s="18">
        <v>7639</v>
      </c>
      <c r="K56" s="18">
        <v>7198</v>
      </c>
    </row>
    <row r="57" spans="1:11" x14ac:dyDescent="0.35">
      <c r="A57" s="17">
        <v>1234</v>
      </c>
      <c r="B57" s="17" t="s">
        <v>32</v>
      </c>
      <c r="C57" s="17">
        <v>3</v>
      </c>
      <c r="D57" s="17" t="s">
        <v>18</v>
      </c>
      <c r="E57" s="17">
        <v>65</v>
      </c>
      <c r="F57" s="17">
        <v>69</v>
      </c>
      <c r="G57" s="18">
        <v>8070</v>
      </c>
      <c r="H57" s="18">
        <v>7580</v>
      </c>
      <c r="I57" s="29">
        <v>0.05</v>
      </c>
      <c r="J57" s="18">
        <v>8474</v>
      </c>
      <c r="K57" s="18">
        <v>7959</v>
      </c>
    </row>
    <row r="58" spans="1:11" x14ac:dyDescent="0.35">
      <c r="A58" s="17">
        <v>1265</v>
      </c>
      <c r="B58" s="17" t="s">
        <v>33</v>
      </c>
      <c r="C58" s="17">
        <v>1</v>
      </c>
      <c r="D58" s="17" t="s">
        <v>5</v>
      </c>
      <c r="E58" s="17">
        <v>0</v>
      </c>
      <c r="F58" s="17">
        <v>4</v>
      </c>
      <c r="G58" s="18">
        <v>1185</v>
      </c>
      <c r="H58" s="18">
        <v>1075</v>
      </c>
      <c r="I58" s="29">
        <v>0.16</v>
      </c>
      <c r="J58" s="18">
        <v>1375</v>
      </c>
      <c r="K58" s="18">
        <v>1247</v>
      </c>
    </row>
    <row r="59" spans="1:11" x14ac:dyDescent="0.35">
      <c r="A59" s="17">
        <v>1265</v>
      </c>
      <c r="B59" s="17" t="s">
        <v>33</v>
      </c>
      <c r="C59" s="17">
        <v>1</v>
      </c>
      <c r="D59" s="17" t="s">
        <v>6</v>
      </c>
      <c r="E59" s="17">
        <v>5</v>
      </c>
      <c r="F59" s="17">
        <v>9</v>
      </c>
      <c r="G59" s="18">
        <v>1295</v>
      </c>
      <c r="H59" s="18">
        <v>1185</v>
      </c>
      <c r="I59" s="29">
        <v>0.16</v>
      </c>
      <c r="J59" s="18">
        <v>1502</v>
      </c>
      <c r="K59" s="18">
        <v>1375</v>
      </c>
    </row>
    <row r="60" spans="1:11" x14ac:dyDescent="0.35">
      <c r="A60" s="17">
        <v>1265</v>
      </c>
      <c r="B60" s="17" t="s">
        <v>33</v>
      </c>
      <c r="C60" s="17">
        <v>1</v>
      </c>
      <c r="D60" s="17" t="s">
        <v>7</v>
      </c>
      <c r="E60" s="17">
        <v>10</v>
      </c>
      <c r="F60" s="17">
        <v>14</v>
      </c>
      <c r="G60" s="18">
        <v>1475</v>
      </c>
      <c r="H60" s="18">
        <v>1360</v>
      </c>
      <c r="I60" s="29">
        <v>0.16</v>
      </c>
      <c r="J60" s="18">
        <v>1711</v>
      </c>
      <c r="K60" s="18">
        <v>1578</v>
      </c>
    </row>
    <row r="61" spans="1:11" x14ac:dyDescent="0.35">
      <c r="A61" s="17">
        <v>1265</v>
      </c>
      <c r="B61" s="17" t="s">
        <v>33</v>
      </c>
      <c r="C61" s="17">
        <v>1</v>
      </c>
      <c r="D61" s="17" t="s">
        <v>8</v>
      </c>
      <c r="E61" s="17">
        <v>15</v>
      </c>
      <c r="F61" s="17">
        <v>19</v>
      </c>
      <c r="G61" s="18">
        <v>1665</v>
      </c>
      <c r="H61" s="18">
        <v>1545</v>
      </c>
      <c r="I61" s="29">
        <v>0.16</v>
      </c>
      <c r="J61" s="18">
        <v>1931</v>
      </c>
      <c r="K61" s="18">
        <v>1792</v>
      </c>
    </row>
    <row r="62" spans="1:11" x14ac:dyDescent="0.35">
      <c r="A62" s="17">
        <v>1265</v>
      </c>
      <c r="B62" s="17" t="s">
        <v>33</v>
      </c>
      <c r="C62" s="17">
        <v>1</v>
      </c>
      <c r="D62" s="17" t="s">
        <v>9</v>
      </c>
      <c r="E62" s="17">
        <v>20</v>
      </c>
      <c r="F62" s="17">
        <v>24</v>
      </c>
      <c r="G62" s="18">
        <v>1875</v>
      </c>
      <c r="H62" s="18">
        <v>1735</v>
      </c>
      <c r="I62" s="29">
        <v>0.16</v>
      </c>
      <c r="J62" s="18">
        <v>2175</v>
      </c>
      <c r="K62" s="18">
        <v>2013</v>
      </c>
    </row>
    <row r="63" spans="1:11" x14ac:dyDescent="0.35">
      <c r="A63" s="17">
        <v>1265</v>
      </c>
      <c r="B63" s="17" t="s">
        <v>33</v>
      </c>
      <c r="C63" s="17">
        <v>1</v>
      </c>
      <c r="D63" s="17" t="s">
        <v>10</v>
      </c>
      <c r="E63" s="17">
        <v>25</v>
      </c>
      <c r="F63" s="17">
        <v>29</v>
      </c>
      <c r="G63" s="18">
        <v>2165</v>
      </c>
      <c r="H63" s="18">
        <v>1960</v>
      </c>
      <c r="I63" s="29">
        <v>0.16</v>
      </c>
      <c r="J63" s="18">
        <v>2511</v>
      </c>
      <c r="K63" s="18">
        <v>2274</v>
      </c>
    </row>
    <row r="64" spans="1:11" x14ac:dyDescent="0.35">
      <c r="A64" s="17">
        <v>1265</v>
      </c>
      <c r="B64" s="17" t="s">
        <v>33</v>
      </c>
      <c r="C64" s="17">
        <v>1</v>
      </c>
      <c r="D64" s="17" t="s">
        <v>11</v>
      </c>
      <c r="E64" s="17">
        <v>30</v>
      </c>
      <c r="F64" s="17">
        <v>34</v>
      </c>
      <c r="G64" s="18">
        <v>2515</v>
      </c>
      <c r="H64" s="18">
        <v>2285</v>
      </c>
      <c r="I64" s="29">
        <v>0.16</v>
      </c>
      <c r="J64" s="18">
        <v>2917</v>
      </c>
      <c r="K64" s="18">
        <v>2651</v>
      </c>
    </row>
    <row r="65" spans="1:11" x14ac:dyDescent="0.35">
      <c r="A65" s="17">
        <v>1265</v>
      </c>
      <c r="B65" s="17" t="s">
        <v>33</v>
      </c>
      <c r="C65" s="17">
        <v>1</v>
      </c>
      <c r="D65" s="17" t="s">
        <v>12</v>
      </c>
      <c r="E65" s="17">
        <v>35</v>
      </c>
      <c r="F65" s="17">
        <v>39</v>
      </c>
      <c r="G65" s="18">
        <v>2920</v>
      </c>
      <c r="H65" s="18">
        <v>2680</v>
      </c>
      <c r="I65" s="29">
        <v>0.16</v>
      </c>
      <c r="J65" s="18">
        <v>3387</v>
      </c>
      <c r="K65" s="18">
        <v>3109</v>
      </c>
    </row>
    <row r="66" spans="1:11" x14ac:dyDescent="0.35">
      <c r="A66" s="17">
        <v>1265</v>
      </c>
      <c r="B66" s="17" t="s">
        <v>33</v>
      </c>
      <c r="C66" s="17">
        <v>1</v>
      </c>
      <c r="D66" s="17" t="s">
        <v>13</v>
      </c>
      <c r="E66" s="17">
        <v>40</v>
      </c>
      <c r="F66" s="17">
        <v>44</v>
      </c>
      <c r="G66" s="18">
        <v>3410</v>
      </c>
      <c r="H66" s="18">
        <v>3185</v>
      </c>
      <c r="I66" s="29">
        <v>0.16</v>
      </c>
      <c r="J66" s="18">
        <v>3956</v>
      </c>
      <c r="K66" s="18">
        <v>3695</v>
      </c>
    </row>
    <row r="67" spans="1:11" x14ac:dyDescent="0.35">
      <c r="A67" s="17">
        <v>1265</v>
      </c>
      <c r="B67" s="17" t="s">
        <v>33</v>
      </c>
      <c r="C67" s="17">
        <v>1</v>
      </c>
      <c r="D67" s="17" t="s">
        <v>14</v>
      </c>
      <c r="E67" s="17">
        <v>45</v>
      </c>
      <c r="F67" s="17">
        <v>49</v>
      </c>
      <c r="G67" s="18">
        <v>4040</v>
      </c>
      <c r="H67" s="18">
        <v>3775</v>
      </c>
      <c r="I67" s="29">
        <v>0.16</v>
      </c>
      <c r="J67" s="18">
        <v>4686</v>
      </c>
      <c r="K67" s="18">
        <v>4379</v>
      </c>
    </row>
    <row r="68" spans="1:11" x14ac:dyDescent="0.35">
      <c r="A68" s="17">
        <v>1265</v>
      </c>
      <c r="B68" s="17" t="s">
        <v>33</v>
      </c>
      <c r="C68" s="17">
        <v>1</v>
      </c>
      <c r="D68" s="17" t="s">
        <v>15</v>
      </c>
      <c r="E68" s="17">
        <v>50</v>
      </c>
      <c r="F68" s="17">
        <v>54</v>
      </c>
      <c r="G68" s="18">
        <v>4865</v>
      </c>
      <c r="H68" s="18">
        <v>4530</v>
      </c>
      <c r="I68" s="29">
        <v>0.16</v>
      </c>
      <c r="J68" s="18">
        <v>5643</v>
      </c>
      <c r="K68" s="18">
        <v>5255</v>
      </c>
    </row>
    <row r="69" spans="1:11" x14ac:dyDescent="0.35">
      <c r="A69" s="17">
        <v>1265</v>
      </c>
      <c r="B69" s="17" t="s">
        <v>33</v>
      </c>
      <c r="C69" s="17">
        <v>1</v>
      </c>
      <c r="D69" s="17" t="s">
        <v>16</v>
      </c>
      <c r="E69" s="17">
        <v>55</v>
      </c>
      <c r="F69" s="17">
        <v>59</v>
      </c>
      <c r="G69" s="18">
        <v>5710</v>
      </c>
      <c r="H69" s="18">
        <v>5365</v>
      </c>
      <c r="I69" s="29">
        <v>0.16</v>
      </c>
      <c r="J69" s="18">
        <v>6624</v>
      </c>
      <c r="K69" s="18">
        <v>6223</v>
      </c>
    </row>
    <row r="70" spans="1:11" x14ac:dyDescent="0.35">
      <c r="A70" s="17">
        <v>1265</v>
      </c>
      <c r="B70" s="17" t="s">
        <v>33</v>
      </c>
      <c r="C70" s="17">
        <v>1</v>
      </c>
      <c r="D70" s="17" t="s">
        <v>17</v>
      </c>
      <c r="E70" s="17">
        <v>60</v>
      </c>
      <c r="F70" s="17">
        <v>64</v>
      </c>
      <c r="G70" s="18">
        <v>6550</v>
      </c>
      <c r="H70" s="18">
        <v>6155</v>
      </c>
      <c r="I70" s="29">
        <v>0.16</v>
      </c>
      <c r="J70" s="18">
        <v>7598</v>
      </c>
      <c r="K70" s="18">
        <v>7140</v>
      </c>
    </row>
    <row r="71" spans="1:11" x14ac:dyDescent="0.35">
      <c r="A71" s="17">
        <v>1265</v>
      </c>
      <c r="B71" s="17" t="s">
        <v>33</v>
      </c>
      <c r="C71" s="17">
        <v>1</v>
      </c>
      <c r="D71" s="17" t="s">
        <v>18</v>
      </c>
      <c r="E71" s="17">
        <v>65</v>
      </c>
      <c r="F71" s="17">
        <v>69</v>
      </c>
      <c r="G71" s="18">
        <v>7315</v>
      </c>
      <c r="H71" s="18">
        <v>6890</v>
      </c>
      <c r="I71" s="29">
        <v>0.16</v>
      </c>
      <c r="J71" s="18">
        <v>8485</v>
      </c>
      <c r="K71" s="18">
        <v>7992</v>
      </c>
    </row>
    <row r="72" spans="1:11" x14ac:dyDescent="0.35">
      <c r="A72" s="17">
        <v>1265</v>
      </c>
      <c r="B72" s="17" t="s">
        <v>33</v>
      </c>
      <c r="C72" s="17">
        <v>2</v>
      </c>
      <c r="D72" s="17" t="s">
        <v>5</v>
      </c>
      <c r="E72" s="17">
        <v>0</v>
      </c>
      <c r="F72" s="17">
        <v>4</v>
      </c>
      <c r="G72" s="18">
        <v>1165</v>
      </c>
      <c r="H72" s="18">
        <v>1060</v>
      </c>
      <c r="I72" s="29">
        <v>0.16</v>
      </c>
      <c r="J72" s="18">
        <v>1351</v>
      </c>
      <c r="K72" s="18">
        <v>1230</v>
      </c>
    </row>
    <row r="73" spans="1:11" x14ac:dyDescent="0.35">
      <c r="A73" s="17">
        <v>1265</v>
      </c>
      <c r="B73" s="17" t="s">
        <v>33</v>
      </c>
      <c r="C73" s="17">
        <v>2</v>
      </c>
      <c r="D73" s="17" t="s">
        <v>6</v>
      </c>
      <c r="E73" s="17">
        <v>5</v>
      </c>
      <c r="F73" s="17">
        <v>9</v>
      </c>
      <c r="G73" s="18">
        <v>1275</v>
      </c>
      <c r="H73" s="18">
        <v>1165</v>
      </c>
      <c r="I73" s="29">
        <v>0.16</v>
      </c>
      <c r="J73" s="18">
        <v>1479</v>
      </c>
      <c r="K73" s="18">
        <v>1351</v>
      </c>
    </row>
    <row r="74" spans="1:11" x14ac:dyDescent="0.35">
      <c r="A74" s="17">
        <v>1265</v>
      </c>
      <c r="B74" s="17" t="s">
        <v>33</v>
      </c>
      <c r="C74" s="17">
        <v>2</v>
      </c>
      <c r="D74" s="17" t="s">
        <v>7</v>
      </c>
      <c r="E74" s="17">
        <v>10</v>
      </c>
      <c r="F74" s="17">
        <v>14</v>
      </c>
      <c r="G74" s="18">
        <v>1455</v>
      </c>
      <c r="H74" s="18">
        <v>1340</v>
      </c>
      <c r="I74" s="29">
        <v>0.16</v>
      </c>
      <c r="J74" s="18">
        <v>1688</v>
      </c>
      <c r="K74" s="18">
        <v>1554</v>
      </c>
    </row>
    <row r="75" spans="1:11" x14ac:dyDescent="0.35">
      <c r="A75" s="17">
        <v>1265</v>
      </c>
      <c r="B75" s="17" t="s">
        <v>33</v>
      </c>
      <c r="C75" s="17">
        <v>2</v>
      </c>
      <c r="D75" s="17" t="s">
        <v>8</v>
      </c>
      <c r="E75" s="17">
        <v>15</v>
      </c>
      <c r="F75" s="17">
        <v>19</v>
      </c>
      <c r="G75" s="18">
        <v>1640</v>
      </c>
      <c r="H75" s="18">
        <v>1525</v>
      </c>
      <c r="I75" s="29">
        <v>0.16</v>
      </c>
      <c r="J75" s="18">
        <v>1902</v>
      </c>
      <c r="K75" s="18">
        <v>1769</v>
      </c>
    </row>
    <row r="76" spans="1:11" x14ac:dyDescent="0.35">
      <c r="A76" s="17">
        <v>1265</v>
      </c>
      <c r="B76" s="17" t="s">
        <v>33</v>
      </c>
      <c r="C76" s="17">
        <v>2</v>
      </c>
      <c r="D76" s="17" t="s">
        <v>9</v>
      </c>
      <c r="E76" s="17">
        <v>20</v>
      </c>
      <c r="F76" s="17">
        <v>24</v>
      </c>
      <c r="G76" s="18">
        <v>1850</v>
      </c>
      <c r="H76" s="18">
        <v>1710</v>
      </c>
      <c r="I76" s="29">
        <v>0.16</v>
      </c>
      <c r="J76" s="18">
        <v>2146</v>
      </c>
      <c r="K76" s="18">
        <v>1984</v>
      </c>
    </row>
    <row r="77" spans="1:11" x14ac:dyDescent="0.35">
      <c r="A77" s="17">
        <v>1265</v>
      </c>
      <c r="B77" s="17" t="s">
        <v>33</v>
      </c>
      <c r="C77" s="17">
        <v>2</v>
      </c>
      <c r="D77" s="17" t="s">
        <v>10</v>
      </c>
      <c r="E77" s="17">
        <v>25</v>
      </c>
      <c r="F77" s="17">
        <v>29</v>
      </c>
      <c r="G77" s="18">
        <v>2135</v>
      </c>
      <c r="H77" s="18">
        <v>1935</v>
      </c>
      <c r="I77" s="29">
        <v>0.16</v>
      </c>
      <c r="J77" s="18">
        <v>2477</v>
      </c>
      <c r="K77" s="18">
        <v>2245</v>
      </c>
    </row>
    <row r="78" spans="1:11" x14ac:dyDescent="0.35">
      <c r="A78" s="17">
        <v>1265</v>
      </c>
      <c r="B78" s="17" t="s">
        <v>33</v>
      </c>
      <c r="C78" s="17">
        <v>2</v>
      </c>
      <c r="D78" s="17" t="s">
        <v>11</v>
      </c>
      <c r="E78" s="17">
        <v>30</v>
      </c>
      <c r="F78" s="17">
        <v>34</v>
      </c>
      <c r="G78" s="18">
        <v>2480</v>
      </c>
      <c r="H78" s="18">
        <v>2255</v>
      </c>
      <c r="I78" s="29">
        <v>0.16</v>
      </c>
      <c r="J78" s="18">
        <v>2877</v>
      </c>
      <c r="K78" s="18">
        <v>2616</v>
      </c>
    </row>
    <row r="79" spans="1:11" x14ac:dyDescent="0.35">
      <c r="A79" s="17">
        <v>1265</v>
      </c>
      <c r="B79" s="17" t="s">
        <v>33</v>
      </c>
      <c r="C79" s="17">
        <v>2</v>
      </c>
      <c r="D79" s="17" t="s">
        <v>12</v>
      </c>
      <c r="E79" s="17">
        <v>35</v>
      </c>
      <c r="F79" s="17">
        <v>39</v>
      </c>
      <c r="G79" s="18">
        <v>2880</v>
      </c>
      <c r="H79" s="18">
        <v>2645</v>
      </c>
      <c r="I79" s="29">
        <v>0.16</v>
      </c>
      <c r="J79" s="18">
        <v>3341</v>
      </c>
      <c r="K79" s="18">
        <v>3068</v>
      </c>
    </row>
    <row r="80" spans="1:11" x14ac:dyDescent="0.35">
      <c r="A80" s="17">
        <v>1265</v>
      </c>
      <c r="B80" s="17" t="s">
        <v>33</v>
      </c>
      <c r="C80" s="17">
        <v>2</v>
      </c>
      <c r="D80" s="17" t="s">
        <v>13</v>
      </c>
      <c r="E80" s="17">
        <v>40</v>
      </c>
      <c r="F80" s="17">
        <v>44</v>
      </c>
      <c r="G80" s="18">
        <v>3365</v>
      </c>
      <c r="H80" s="18">
        <v>3145</v>
      </c>
      <c r="I80" s="29">
        <v>0.16</v>
      </c>
      <c r="J80" s="18">
        <v>3903</v>
      </c>
      <c r="K80" s="18">
        <v>3648</v>
      </c>
    </row>
    <row r="81" spans="1:11" x14ac:dyDescent="0.35">
      <c r="A81" s="17">
        <v>1265</v>
      </c>
      <c r="B81" s="17" t="s">
        <v>33</v>
      </c>
      <c r="C81" s="17">
        <v>2</v>
      </c>
      <c r="D81" s="17" t="s">
        <v>14</v>
      </c>
      <c r="E81" s="17">
        <v>45</v>
      </c>
      <c r="F81" s="17">
        <v>49</v>
      </c>
      <c r="G81" s="18">
        <v>3990</v>
      </c>
      <c r="H81" s="18">
        <v>3725</v>
      </c>
      <c r="I81" s="29">
        <v>0.16</v>
      </c>
      <c r="J81" s="18">
        <v>4628</v>
      </c>
      <c r="K81" s="18">
        <v>4321</v>
      </c>
    </row>
    <row r="82" spans="1:11" x14ac:dyDescent="0.35">
      <c r="A82" s="17">
        <v>1265</v>
      </c>
      <c r="B82" s="17" t="s">
        <v>33</v>
      </c>
      <c r="C82" s="17">
        <v>2</v>
      </c>
      <c r="D82" s="17" t="s">
        <v>15</v>
      </c>
      <c r="E82" s="17">
        <v>50</v>
      </c>
      <c r="F82" s="17">
        <v>54</v>
      </c>
      <c r="G82" s="18">
        <v>4805</v>
      </c>
      <c r="H82" s="18">
        <v>4470</v>
      </c>
      <c r="I82" s="29">
        <v>0.16</v>
      </c>
      <c r="J82" s="18">
        <v>5574</v>
      </c>
      <c r="K82" s="18">
        <v>5185</v>
      </c>
    </row>
    <row r="83" spans="1:11" x14ac:dyDescent="0.35">
      <c r="A83" s="17">
        <v>1265</v>
      </c>
      <c r="B83" s="17" t="s">
        <v>33</v>
      </c>
      <c r="C83" s="17">
        <v>2</v>
      </c>
      <c r="D83" s="17" t="s">
        <v>16</v>
      </c>
      <c r="E83" s="17">
        <v>55</v>
      </c>
      <c r="F83" s="17">
        <v>59</v>
      </c>
      <c r="G83" s="18">
        <v>5640</v>
      </c>
      <c r="H83" s="18">
        <v>5300</v>
      </c>
      <c r="I83" s="29">
        <v>0.16</v>
      </c>
      <c r="J83" s="18">
        <v>6542</v>
      </c>
      <c r="K83" s="18">
        <v>6148</v>
      </c>
    </row>
    <row r="84" spans="1:11" x14ac:dyDescent="0.35">
      <c r="A84" s="17">
        <v>1265</v>
      </c>
      <c r="B84" s="17" t="s">
        <v>33</v>
      </c>
      <c r="C84" s="17">
        <v>2</v>
      </c>
      <c r="D84" s="17" t="s">
        <v>17</v>
      </c>
      <c r="E84" s="17">
        <v>60</v>
      </c>
      <c r="F84" s="17">
        <v>64</v>
      </c>
      <c r="G84" s="18">
        <v>6470</v>
      </c>
      <c r="H84" s="18">
        <v>6080</v>
      </c>
      <c r="I84" s="29">
        <v>0.16</v>
      </c>
      <c r="J84" s="18">
        <v>7505</v>
      </c>
      <c r="K84" s="18">
        <v>7053</v>
      </c>
    </row>
    <row r="85" spans="1:11" x14ac:dyDescent="0.35">
      <c r="A85" s="17">
        <v>1265</v>
      </c>
      <c r="B85" s="17" t="s">
        <v>33</v>
      </c>
      <c r="C85" s="17">
        <v>2</v>
      </c>
      <c r="D85" s="17" t="s">
        <v>18</v>
      </c>
      <c r="E85" s="17">
        <v>65</v>
      </c>
      <c r="F85" s="17">
        <v>69</v>
      </c>
      <c r="G85" s="18">
        <v>7225</v>
      </c>
      <c r="H85" s="18">
        <v>6805</v>
      </c>
      <c r="I85" s="29">
        <v>0.16</v>
      </c>
      <c r="J85" s="18">
        <v>8381</v>
      </c>
      <c r="K85" s="18">
        <v>7894</v>
      </c>
    </row>
    <row r="86" spans="1:11" x14ac:dyDescent="0.35">
      <c r="A86" s="17">
        <v>1320</v>
      </c>
      <c r="B86" s="17" t="s">
        <v>31</v>
      </c>
      <c r="C86" s="17">
        <v>1</v>
      </c>
      <c r="D86" s="17" t="s">
        <v>5</v>
      </c>
      <c r="E86" s="17">
        <v>0</v>
      </c>
      <c r="F86" s="17">
        <v>4</v>
      </c>
      <c r="G86" s="18">
        <v>1315</v>
      </c>
      <c r="H86" s="18">
        <v>1205</v>
      </c>
      <c r="I86" s="29">
        <v>0.25</v>
      </c>
      <c r="J86" s="18">
        <v>1644</v>
      </c>
      <c r="K86" s="18">
        <v>1506</v>
      </c>
    </row>
    <row r="87" spans="1:11" x14ac:dyDescent="0.35">
      <c r="A87" s="17">
        <v>1320</v>
      </c>
      <c r="B87" s="17" t="s">
        <v>31</v>
      </c>
      <c r="C87" s="17">
        <v>1</v>
      </c>
      <c r="D87" s="17" t="s">
        <v>6</v>
      </c>
      <c r="E87" s="17">
        <v>5</v>
      </c>
      <c r="F87" s="17">
        <v>9</v>
      </c>
      <c r="G87" s="18">
        <v>1450</v>
      </c>
      <c r="H87" s="18">
        <v>1340</v>
      </c>
      <c r="I87" s="29">
        <v>0.25</v>
      </c>
      <c r="J87" s="18">
        <v>1812</v>
      </c>
      <c r="K87" s="18">
        <v>1675</v>
      </c>
    </row>
    <row r="88" spans="1:11" x14ac:dyDescent="0.35">
      <c r="A88" s="17">
        <v>1320</v>
      </c>
      <c r="B88" s="17" t="s">
        <v>31</v>
      </c>
      <c r="C88" s="17">
        <v>1</v>
      </c>
      <c r="D88" s="17" t="s">
        <v>7</v>
      </c>
      <c r="E88" s="17">
        <v>10</v>
      </c>
      <c r="F88" s="17">
        <v>14</v>
      </c>
      <c r="G88" s="18">
        <v>1680</v>
      </c>
      <c r="H88" s="18">
        <v>1560</v>
      </c>
      <c r="I88" s="29">
        <v>0.25</v>
      </c>
      <c r="J88" s="18">
        <v>2100</v>
      </c>
      <c r="K88" s="18">
        <v>1950</v>
      </c>
    </row>
    <row r="89" spans="1:11" x14ac:dyDescent="0.35">
      <c r="A89" s="17">
        <v>1320</v>
      </c>
      <c r="B89" s="17" t="s">
        <v>31</v>
      </c>
      <c r="C89" s="17">
        <v>1</v>
      </c>
      <c r="D89" s="17" t="s">
        <v>8</v>
      </c>
      <c r="E89" s="17">
        <v>15</v>
      </c>
      <c r="F89" s="17">
        <v>19</v>
      </c>
      <c r="G89" s="18">
        <v>1925</v>
      </c>
      <c r="H89" s="18">
        <v>1790</v>
      </c>
      <c r="I89" s="29">
        <v>0.25</v>
      </c>
      <c r="J89" s="18">
        <v>2406</v>
      </c>
      <c r="K89" s="18">
        <v>2238</v>
      </c>
    </row>
    <row r="90" spans="1:11" x14ac:dyDescent="0.35">
      <c r="A90" s="17">
        <v>1320</v>
      </c>
      <c r="B90" s="17" t="s">
        <v>31</v>
      </c>
      <c r="C90" s="17">
        <v>1</v>
      </c>
      <c r="D90" s="17" t="s">
        <v>9</v>
      </c>
      <c r="E90" s="17">
        <v>20</v>
      </c>
      <c r="F90" s="17">
        <v>24</v>
      </c>
      <c r="G90" s="18">
        <v>2190</v>
      </c>
      <c r="H90" s="18">
        <v>2030</v>
      </c>
      <c r="I90" s="29">
        <v>0.25</v>
      </c>
      <c r="J90" s="18">
        <v>2738</v>
      </c>
      <c r="K90" s="18">
        <v>2538</v>
      </c>
    </row>
    <row r="91" spans="1:11" x14ac:dyDescent="0.35">
      <c r="A91" s="17">
        <v>1320</v>
      </c>
      <c r="B91" s="17" t="s">
        <v>31</v>
      </c>
      <c r="C91" s="17">
        <v>1</v>
      </c>
      <c r="D91" s="17" t="s">
        <v>10</v>
      </c>
      <c r="E91" s="17">
        <v>25</v>
      </c>
      <c r="F91" s="17">
        <v>29</v>
      </c>
      <c r="G91" s="18">
        <v>2550</v>
      </c>
      <c r="H91" s="18">
        <v>2315</v>
      </c>
      <c r="I91" s="29">
        <v>0.25</v>
      </c>
      <c r="J91" s="18">
        <v>3188</v>
      </c>
      <c r="K91" s="18">
        <v>2894</v>
      </c>
    </row>
    <row r="92" spans="1:11" x14ac:dyDescent="0.35">
      <c r="A92" s="17">
        <v>1320</v>
      </c>
      <c r="B92" s="17" t="s">
        <v>31</v>
      </c>
      <c r="C92" s="17">
        <v>1</v>
      </c>
      <c r="D92" s="17" t="s">
        <v>11</v>
      </c>
      <c r="E92" s="17">
        <v>30</v>
      </c>
      <c r="F92" s="17">
        <v>34</v>
      </c>
      <c r="G92" s="18">
        <v>3010</v>
      </c>
      <c r="H92" s="18">
        <v>2730</v>
      </c>
      <c r="I92" s="29">
        <v>0.25</v>
      </c>
      <c r="J92" s="18">
        <v>3762</v>
      </c>
      <c r="K92" s="18">
        <v>3412</v>
      </c>
    </row>
    <row r="93" spans="1:11" x14ac:dyDescent="0.35">
      <c r="A93" s="17">
        <v>1320</v>
      </c>
      <c r="B93" s="17" t="s">
        <v>31</v>
      </c>
      <c r="C93" s="17">
        <v>1</v>
      </c>
      <c r="D93" s="17" t="s">
        <v>12</v>
      </c>
      <c r="E93" s="17">
        <v>35</v>
      </c>
      <c r="F93" s="17">
        <v>39</v>
      </c>
      <c r="G93" s="18">
        <v>3545</v>
      </c>
      <c r="H93" s="18">
        <v>3225</v>
      </c>
      <c r="I93" s="29">
        <v>0.25</v>
      </c>
      <c r="J93" s="18">
        <v>4431</v>
      </c>
      <c r="K93" s="18">
        <v>4031</v>
      </c>
    </row>
    <row r="94" spans="1:11" x14ac:dyDescent="0.35">
      <c r="A94" s="17">
        <v>1320</v>
      </c>
      <c r="B94" s="17" t="s">
        <v>31</v>
      </c>
      <c r="C94" s="17">
        <v>1</v>
      </c>
      <c r="D94" s="17" t="s">
        <v>13</v>
      </c>
      <c r="E94" s="17">
        <v>40</v>
      </c>
      <c r="F94" s="17">
        <v>44</v>
      </c>
      <c r="G94" s="18">
        <v>4210</v>
      </c>
      <c r="H94" s="18">
        <v>3860</v>
      </c>
      <c r="I94" s="29">
        <v>0.25</v>
      </c>
      <c r="J94" s="18">
        <v>5262</v>
      </c>
      <c r="K94" s="18">
        <v>4825</v>
      </c>
    </row>
    <row r="95" spans="1:11" x14ac:dyDescent="0.35">
      <c r="A95" s="17">
        <v>1320</v>
      </c>
      <c r="B95" s="17" t="s">
        <v>31</v>
      </c>
      <c r="C95" s="17">
        <v>1</v>
      </c>
      <c r="D95" s="17" t="s">
        <v>14</v>
      </c>
      <c r="E95" s="17">
        <v>45</v>
      </c>
      <c r="F95" s="17">
        <v>49</v>
      </c>
      <c r="G95" s="18">
        <v>5015</v>
      </c>
      <c r="H95" s="18">
        <v>4610</v>
      </c>
      <c r="I95" s="29">
        <v>0.25</v>
      </c>
      <c r="J95" s="18">
        <v>6269</v>
      </c>
      <c r="K95" s="18">
        <v>5762</v>
      </c>
    </row>
    <row r="96" spans="1:11" x14ac:dyDescent="0.35">
      <c r="A96" s="17">
        <v>1320</v>
      </c>
      <c r="B96" s="17" t="s">
        <v>31</v>
      </c>
      <c r="C96" s="17">
        <v>1</v>
      </c>
      <c r="D96" s="17" t="s">
        <v>15</v>
      </c>
      <c r="E96" s="17">
        <v>50</v>
      </c>
      <c r="F96" s="17">
        <v>54</v>
      </c>
      <c r="G96" s="18">
        <v>6020</v>
      </c>
      <c r="H96" s="18">
        <v>5520</v>
      </c>
      <c r="I96" s="29">
        <v>0.25</v>
      </c>
      <c r="J96" s="18">
        <v>7525</v>
      </c>
      <c r="K96" s="18">
        <v>6900</v>
      </c>
    </row>
    <row r="97" spans="1:11" x14ac:dyDescent="0.35">
      <c r="A97" s="17">
        <v>1320</v>
      </c>
      <c r="B97" s="17" t="s">
        <v>31</v>
      </c>
      <c r="C97" s="17">
        <v>1</v>
      </c>
      <c r="D97" s="17" t="s">
        <v>16</v>
      </c>
      <c r="E97" s="17">
        <v>55</v>
      </c>
      <c r="F97" s="17">
        <v>59</v>
      </c>
      <c r="G97" s="18">
        <v>7130</v>
      </c>
      <c r="H97" s="18">
        <v>6510</v>
      </c>
      <c r="I97" s="29">
        <v>0.25</v>
      </c>
      <c r="J97" s="18">
        <v>8912</v>
      </c>
      <c r="K97" s="18">
        <v>8138</v>
      </c>
    </row>
    <row r="98" spans="1:11" x14ac:dyDescent="0.35">
      <c r="A98" s="17">
        <v>1320</v>
      </c>
      <c r="B98" s="17" t="s">
        <v>31</v>
      </c>
      <c r="C98" s="17">
        <v>1</v>
      </c>
      <c r="D98" s="17" t="s">
        <v>17</v>
      </c>
      <c r="E98" s="17">
        <v>60</v>
      </c>
      <c r="F98" s="17">
        <v>64</v>
      </c>
      <c r="G98" s="18">
        <v>8290</v>
      </c>
      <c r="H98" s="18">
        <v>7575</v>
      </c>
      <c r="I98" s="29">
        <v>0.25</v>
      </c>
      <c r="J98" s="18">
        <v>10362</v>
      </c>
      <c r="K98" s="18">
        <v>9469</v>
      </c>
    </row>
    <row r="99" spans="1:11" x14ac:dyDescent="0.35">
      <c r="A99" s="17">
        <v>1320</v>
      </c>
      <c r="B99" s="17" t="s">
        <v>31</v>
      </c>
      <c r="C99" s="17">
        <v>1</v>
      </c>
      <c r="D99" s="17" t="s">
        <v>18</v>
      </c>
      <c r="E99" s="17">
        <v>65</v>
      </c>
      <c r="F99" s="17">
        <v>69</v>
      </c>
      <c r="G99" s="18">
        <v>9440</v>
      </c>
      <c r="H99" s="18">
        <v>8610</v>
      </c>
      <c r="I99" s="29">
        <v>0.25</v>
      </c>
      <c r="J99" s="18">
        <v>11800</v>
      </c>
      <c r="K99" s="18">
        <v>10762</v>
      </c>
    </row>
    <row r="100" spans="1:11" x14ac:dyDescent="0.35">
      <c r="A100" s="17">
        <v>1457</v>
      </c>
      <c r="B100" s="17" t="s">
        <v>33</v>
      </c>
      <c r="C100" s="17">
        <v>1</v>
      </c>
      <c r="D100" s="17" t="s">
        <v>5</v>
      </c>
      <c r="E100" s="17">
        <v>0</v>
      </c>
      <c r="F100" s="17">
        <v>4</v>
      </c>
      <c r="G100" s="18">
        <v>1365</v>
      </c>
      <c r="H100" s="18">
        <v>1240</v>
      </c>
      <c r="I100" s="29">
        <v>0.42</v>
      </c>
      <c r="J100" s="18">
        <v>1938</v>
      </c>
      <c r="K100" s="18">
        <v>1761</v>
      </c>
    </row>
    <row r="101" spans="1:11" x14ac:dyDescent="0.35">
      <c r="A101" s="17">
        <v>1457</v>
      </c>
      <c r="B101" s="17" t="s">
        <v>33</v>
      </c>
      <c r="C101" s="17">
        <v>1</v>
      </c>
      <c r="D101" s="17" t="s">
        <v>6</v>
      </c>
      <c r="E101" s="17">
        <v>5</v>
      </c>
      <c r="F101" s="17">
        <v>9</v>
      </c>
      <c r="G101" s="18">
        <v>1535</v>
      </c>
      <c r="H101" s="18">
        <v>1415</v>
      </c>
      <c r="I101" s="29">
        <v>0.42</v>
      </c>
      <c r="J101" s="18">
        <v>2180</v>
      </c>
      <c r="K101" s="18">
        <v>2009</v>
      </c>
    </row>
    <row r="102" spans="1:11" x14ac:dyDescent="0.35">
      <c r="A102" s="17">
        <v>1457</v>
      </c>
      <c r="B102" s="17" t="s">
        <v>33</v>
      </c>
      <c r="C102" s="17">
        <v>1</v>
      </c>
      <c r="D102" s="17" t="s">
        <v>7</v>
      </c>
      <c r="E102" s="17">
        <v>10</v>
      </c>
      <c r="F102" s="17">
        <v>14</v>
      </c>
      <c r="G102" s="18">
        <v>1790</v>
      </c>
      <c r="H102" s="18">
        <v>1655</v>
      </c>
      <c r="I102" s="29">
        <v>0.42</v>
      </c>
      <c r="J102" s="18">
        <v>2542</v>
      </c>
      <c r="K102" s="18">
        <v>2350</v>
      </c>
    </row>
    <row r="103" spans="1:11" x14ac:dyDescent="0.35">
      <c r="A103" s="17">
        <v>1457</v>
      </c>
      <c r="B103" s="17" t="s">
        <v>33</v>
      </c>
      <c r="C103" s="17">
        <v>1</v>
      </c>
      <c r="D103" s="17" t="s">
        <v>8</v>
      </c>
      <c r="E103" s="17">
        <v>15</v>
      </c>
      <c r="F103" s="17">
        <v>19</v>
      </c>
      <c r="G103" s="18">
        <v>2070</v>
      </c>
      <c r="H103" s="18">
        <v>1935</v>
      </c>
      <c r="I103" s="29">
        <v>0.42</v>
      </c>
      <c r="J103" s="18">
        <v>2939</v>
      </c>
      <c r="K103" s="18">
        <v>2748</v>
      </c>
    </row>
    <row r="104" spans="1:11" x14ac:dyDescent="0.35">
      <c r="A104" s="17">
        <v>1457</v>
      </c>
      <c r="B104" s="17" t="s">
        <v>33</v>
      </c>
      <c r="C104" s="17">
        <v>1</v>
      </c>
      <c r="D104" s="17" t="s">
        <v>9</v>
      </c>
      <c r="E104" s="17">
        <v>20</v>
      </c>
      <c r="F104" s="17">
        <v>24</v>
      </c>
      <c r="G104" s="18">
        <v>2375</v>
      </c>
      <c r="H104" s="18">
        <v>2215</v>
      </c>
      <c r="I104" s="29">
        <v>0.42</v>
      </c>
      <c r="J104" s="18">
        <v>3372</v>
      </c>
      <c r="K104" s="18">
        <v>3145</v>
      </c>
    </row>
    <row r="105" spans="1:11" x14ac:dyDescent="0.35">
      <c r="A105" s="17">
        <v>1457</v>
      </c>
      <c r="B105" s="17" t="s">
        <v>33</v>
      </c>
      <c r="C105" s="17">
        <v>1</v>
      </c>
      <c r="D105" s="17" t="s">
        <v>10</v>
      </c>
      <c r="E105" s="17">
        <v>25</v>
      </c>
      <c r="F105" s="17">
        <v>29</v>
      </c>
      <c r="G105" s="18">
        <v>2785</v>
      </c>
      <c r="H105" s="18">
        <v>2540</v>
      </c>
      <c r="I105" s="29">
        <v>0.42</v>
      </c>
      <c r="J105" s="18">
        <v>3955</v>
      </c>
      <c r="K105" s="18">
        <v>3607</v>
      </c>
    </row>
    <row r="106" spans="1:11" x14ac:dyDescent="0.35">
      <c r="A106" s="17">
        <v>1457</v>
      </c>
      <c r="B106" s="17" t="s">
        <v>33</v>
      </c>
      <c r="C106" s="17">
        <v>1</v>
      </c>
      <c r="D106" s="17" t="s">
        <v>11</v>
      </c>
      <c r="E106" s="17">
        <v>30</v>
      </c>
      <c r="F106" s="17">
        <v>34</v>
      </c>
      <c r="G106" s="18">
        <v>3310</v>
      </c>
      <c r="H106" s="18">
        <v>3025</v>
      </c>
      <c r="I106" s="29">
        <v>0.42</v>
      </c>
      <c r="J106" s="18">
        <v>4700</v>
      </c>
      <c r="K106" s="18">
        <v>4296</v>
      </c>
    </row>
    <row r="107" spans="1:11" x14ac:dyDescent="0.35">
      <c r="A107" s="17">
        <v>1457</v>
      </c>
      <c r="B107" s="17" t="s">
        <v>33</v>
      </c>
      <c r="C107" s="17">
        <v>1</v>
      </c>
      <c r="D107" s="17" t="s">
        <v>12</v>
      </c>
      <c r="E107" s="17">
        <v>35</v>
      </c>
      <c r="F107" s="17">
        <v>39</v>
      </c>
      <c r="G107" s="18">
        <v>3915</v>
      </c>
      <c r="H107" s="18">
        <v>3590</v>
      </c>
      <c r="I107" s="29">
        <v>0.42</v>
      </c>
      <c r="J107" s="18">
        <v>5559</v>
      </c>
      <c r="K107" s="18">
        <v>5098</v>
      </c>
    </row>
    <row r="108" spans="1:11" x14ac:dyDescent="0.35">
      <c r="A108" s="17">
        <v>1457</v>
      </c>
      <c r="B108" s="17" t="s">
        <v>33</v>
      </c>
      <c r="C108" s="17">
        <v>1</v>
      </c>
      <c r="D108" s="17" t="s">
        <v>13</v>
      </c>
      <c r="E108" s="17">
        <v>40</v>
      </c>
      <c r="F108" s="17">
        <v>44</v>
      </c>
      <c r="G108" s="18">
        <v>4675</v>
      </c>
      <c r="H108" s="18">
        <v>4300</v>
      </c>
      <c r="I108" s="29">
        <v>0.42</v>
      </c>
      <c r="J108" s="18">
        <v>6638</v>
      </c>
      <c r="K108" s="18">
        <v>6106</v>
      </c>
    </row>
    <row r="109" spans="1:11" x14ac:dyDescent="0.35">
      <c r="A109" s="17">
        <v>1457</v>
      </c>
      <c r="B109" s="17" t="s">
        <v>33</v>
      </c>
      <c r="C109" s="17">
        <v>1</v>
      </c>
      <c r="D109" s="17" t="s">
        <v>14</v>
      </c>
      <c r="E109" s="17">
        <v>45</v>
      </c>
      <c r="F109" s="17">
        <v>49</v>
      </c>
      <c r="G109" s="18">
        <v>5580</v>
      </c>
      <c r="H109" s="18">
        <v>5140</v>
      </c>
      <c r="I109" s="29">
        <v>0.42</v>
      </c>
      <c r="J109" s="18">
        <v>7924</v>
      </c>
      <c r="K109" s="18">
        <v>7299</v>
      </c>
    </row>
    <row r="110" spans="1:11" x14ac:dyDescent="0.35">
      <c r="A110" s="17">
        <v>1457</v>
      </c>
      <c r="B110" s="17" t="s">
        <v>33</v>
      </c>
      <c r="C110" s="17">
        <v>1</v>
      </c>
      <c r="D110" s="17" t="s">
        <v>15</v>
      </c>
      <c r="E110" s="17">
        <v>50</v>
      </c>
      <c r="F110" s="17">
        <v>54</v>
      </c>
      <c r="G110" s="18">
        <v>6725</v>
      </c>
      <c r="H110" s="18">
        <v>6195</v>
      </c>
      <c r="I110" s="29">
        <v>0.42</v>
      </c>
      <c r="J110" s="18">
        <v>9550</v>
      </c>
      <c r="K110" s="18">
        <v>8797</v>
      </c>
    </row>
    <row r="111" spans="1:11" x14ac:dyDescent="0.35">
      <c r="A111" s="17">
        <v>1457</v>
      </c>
      <c r="B111" s="17" t="s">
        <v>33</v>
      </c>
      <c r="C111" s="17">
        <v>1</v>
      </c>
      <c r="D111" s="17" t="s">
        <v>16</v>
      </c>
      <c r="E111" s="17">
        <v>55</v>
      </c>
      <c r="F111" s="17">
        <v>59</v>
      </c>
      <c r="G111" s="18">
        <v>7960</v>
      </c>
      <c r="H111" s="18">
        <v>7310</v>
      </c>
      <c r="I111" s="29">
        <v>0.42</v>
      </c>
      <c r="J111" s="18">
        <v>11303</v>
      </c>
      <c r="K111" s="18">
        <v>10380</v>
      </c>
    </row>
    <row r="112" spans="1:11" x14ac:dyDescent="0.35">
      <c r="A112" s="17">
        <v>1457</v>
      </c>
      <c r="B112" s="17" t="s">
        <v>33</v>
      </c>
      <c r="C112" s="17">
        <v>1</v>
      </c>
      <c r="D112" s="17" t="s">
        <v>17</v>
      </c>
      <c r="E112" s="17">
        <v>60</v>
      </c>
      <c r="F112" s="17">
        <v>64</v>
      </c>
      <c r="G112" s="18">
        <v>9250</v>
      </c>
      <c r="H112" s="18">
        <v>8525</v>
      </c>
      <c r="I112" s="29">
        <v>0.42</v>
      </c>
      <c r="J112" s="18">
        <v>13135</v>
      </c>
      <c r="K112" s="18">
        <v>12106</v>
      </c>
    </row>
    <row r="113" spans="1:11" x14ac:dyDescent="0.35">
      <c r="A113" s="17">
        <v>1457</v>
      </c>
      <c r="B113" s="17" t="s">
        <v>33</v>
      </c>
      <c r="C113" s="17">
        <v>1</v>
      </c>
      <c r="D113" s="17" t="s">
        <v>18</v>
      </c>
      <c r="E113" s="17">
        <v>65</v>
      </c>
      <c r="F113" s="17">
        <v>69</v>
      </c>
      <c r="G113" s="18">
        <v>10580</v>
      </c>
      <c r="H113" s="18">
        <v>9700</v>
      </c>
      <c r="I113" s="29">
        <v>0.42</v>
      </c>
      <c r="J113" s="18">
        <v>15024</v>
      </c>
      <c r="K113" s="18">
        <v>13774</v>
      </c>
    </row>
    <row r="114" spans="1:11" x14ac:dyDescent="0.35">
      <c r="A114" s="17">
        <v>1457</v>
      </c>
      <c r="B114" s="17" t="s">
        <v>33</v>
      </c>
      <c r="C114" s="17">
        <v>2</v>
      </c>
      <c r="D114" s="17" t="s">
        <v>5</v>
      </c>
      <c r="E114" s="17">
        <v>0</v>
      </c>
      <c r="F114" s="17">
        <v>4</v>
      </c>
      <c r="G114" s="18">
        <v>1345</v>
      </c>
      <c r="H114" s="18">
        <v>1220</v>
      </c>
      <c r="I114" s="29">
        <v>0.42</v>
      </c>
      <c r="J114" s="18">
        <v>1910</v>
      </c>
      <c r="K114" s="18">
        <v>1732</v>
      </c>
    </row>
    <row r="115" spans="1:11" x14ac:dyDescent="0.35">
      <c r="A115" s="17">
        <v>1457</v>
      </c>
      <c r="B115" s="17" t="s">
        <v>33</v>
      </c>
      <c r="C115" s="17">
        <v>2</v>
      </c>
      <c r="D115" s="17" t="s">
        <v>6</v>
      </c>
      <c r="E115" s="17">
        <v>5</v>
      </c>
      <c r="F115" s="17">
        <v>9</v>
      </c>
      <c r="G115" s="18">
        <v>1510</v>
      </c>
      <c r="H115" s="18">
        <v>1395</v>
      </c>
      <c r="I115" s="29">
        <v>0.42</v>
      </c>
      <c r="J115" s="18">
        <v>2144</v>
      </c>
      <c r="K115" s="18">
        <v>1981</v>
      </c>
    </row>
    <row r="116" spans="1:11" x14ac:dyDescent="0.35">
      <c r="A116" s="17">
        <v>1457</v>
      </c>
      <c r="B116" s="17" t="s">
        <v>33</v>
      </c>
      <c r="C116" s="17">
        <v>2</v>
      </c>
      <c r="D116" s="17" t="s">
        <v>7</v>
      </c>
      <c r="E116" s="17">
        <v>10</v>
      </c>
      <c r="F116" s="17">
        <v>14</v>
      </c>
      <c r="G116" s="18">
        <v>1765</v>
      </c>
      <c r="H116" s="18">
        <v>1630</v>
      </c>
      <c r="I116" s="29">
        <v>0.42</v>
      </c>
      <c r="J116" s="18">
        <v>2506</v>
      </c>
      <c r="K116" s="18">
        <v>2315</v>
      </c>
    </row>
    <row r="117" spans="1:11" x14ac:dyDescent="0.35">
      <c r="A117" s="17">
        <v>1457</v>
      </c>
      <c r="B117" s="17" t="s">
        <v>33</v>
      </c>
      <c r="C117" s="17">
        <v>2</v>
      </c>
      <c r="D117" s="17" t="s">
        <v>8</v>
      </c>
      <c r="E117" s="17">
        <v>15</v>
      </c>
      <c r="F117" s="17">
        <v>19</v>
      </c>
      <c r="G117" s="18">
        <v>2040</v>
      </c>
      <c r="H117" s="18">
        <v>1905</v>
      </c>
      <c r="I117" s="29">
        <v>0.42</v>
      </c>
      <c r="J117" s="18">
        <v>2897</v>
      </c>
      <c r="K117" s="18">
        <v>2705</v>
      </c>
    </row>
    <row r="118" spans="1:11" x14ac:dyDescent="0.35">
      <c r="A118" s="17">
        <v>1457</v>
      </c>
      <c r="B118" s="17" t="s">
        <v>33</v>
      </c>
      <c r="C118" s="17">
        <v>2</v>
      </c>
      <c r="D118" s="17" t="s">
        <v>9</v>
      </c>
      <c r="E118" s="17">
        <v>20</v>
      </c>
      <c r="F118" s="17">
        <v>24</v>
      </c>
      <c r="G118" s="18">
        <v>2340</v>
      </c>
      <c r="H118" s="18">
        <v>2185</v>
      </c>
      <c r="I118" s="29">
        <v>0.42</v>
      </c>
      <c r="J118" s="18">
        <v>3323</v>
      </c>
      <c r="K118" s="18">
        <v>3103</v>
      </c>
    </row>
    <row r="119" spans="1:11" x14ac:dyDescent="0.35">
      <c r="A119" s="17">
        <v>1457</v>
      </c>
      <c r="B119" s="17" t="s">
        <v>33</v>
      </c>
      <c r="C119" s="17">
        <v>2</v>
      </c>
      <c r="D119" s="17" t="s">
        <v>10</v>
      </c>
      <c r="E119" s="17">
        <v>25</v>
      </c>
      <c r="F119" s="17">
        <v>29</v>
      </c>
      <c r="G119" s="18">
        <v>2745</v>
      </c>
      <c r="H119" s="18">
        <v>2505</v>
      </c>
      <c r="I119" s="29">
        <v>0.42</v>
      </c>
      <c r="J119" s="18">
        <v>3898</v>
      </c>
      <c r="K119" s="18">
        <v>3557</v>
      </c>
    </row>
    <row r="120" spans="1:11" x14ac:dyDescent="0.35">
      <c r="A120" s="17">
        <v>1457</v>
      </c>
      <c r="B120" s="17" t="s">
        <v>33</v>
      </c>
      <c r="C120" s="17">
        <v>2</v>
      </c>
      <c r="D120" s="17" t="s">
        <v>11</v>
      </c>
      <c r="E120" s="17">
        <v>30</v>
      </c>
      <c r="F120" s="17">
        <v>34</v>
      </c>
      <c r="G120" s="18">
        <v>3265</v>
      </c>
      <c r="H120" s="18">
        <v>2985</v>
      </c>
      <c r="I120" s="29">
        <v>0.42</v>
      </c>
      <c r="J120" s="18">
        <v>4636</v>
      </c>
      <c r="K120" s="18">
        <v>4239</v>
      </c>
    </row>
    <row r="121" spans="1:11" x14ac:dyDescent="0.35">
      <c r="A121" s="17">
        <v>1457</v>
      </c>
      <c r="B121" s="17" t="s">
        <v>33</v>
      </c>
      <c r="C121" s="17">
        <v>2</v>
      </c>
      <c r="D121" s="17" t="s">
        <v>12</v>
      </c>
      <c r="E121" s="17">
        <v>35</v>
      </c>
      <c r="F121" s="17">
        <v>39</v>
      </c>
      <c r="G121" s="18">
        <v>3865</v>
      </c>
      <c r="H121" s="18">
        <v>3540</v>
      </c>
      <c r="I121" s="29">
        <v>0.42</v>
      </c>
      <c r="J121" s="18">
        <v>5488</v>
      </c>
      <c r="K121" s="18">
        <v>5027</v>
      </c>
    </row>
    <row r="122" spans="1:11" x14ac:dyDescent="0.35">
      <c r="A122" s="17">
        <v>1457</v>
      </c>
      <c r="B122" s="17" t="s">
        <v>33</v>
      </c>
      <c r="C122" s="17">
        <v>2</v>
      </c>
      <c r="D122" s="17" t="s">
        <v>13</v>
      </c>
      <c r="E122" s="17">
        <v>40</v>
      </c>
      <c r="F122" s="17">
        <v>44</v>
      </c>
      <c r="G122" s="18">
        <v>4615</v>
      </c>
      <c r="H122" s="18">
        <v>4245</v>
      </c>
      <c r="I122" s="29">
        <v>0.42</v>
      </c>
      <c r="J122" s="18">
        <v>6553</v>
      </c>
      <c r="K122" s="18">
        <v>6028</v>
      </c>
    </row>
    <row r="123" spans="1:11" x14ac:dyDescent="0.35">
      <c r="A123" s="17">
        <v>1457</v>
      </c>
      <c r="B123" s="17" t="s">
        <v>33</v>
      </c>
      <c r="C123" s="17">
        <v>2</v>
      </c>
      <c r="D123" s="17" t="s">
        <v>14</v>
      </c>
      <c r="E123" s="17">
        <v>45</v>
      </c>
      <c r="F123" s="17">
        <v>49</v>
      </c>
      <c r="G123" s="18">
        <v>5510</v>
      </c>
      <c r="H123" s="18">
        <v>5075</v>
      </c>
      <c r="I123" s="29">
        <v>0.42</v>
      </c>
      <c r="J123" s="18">
        <v>7824</v>
      </c>
      <c r="K123" s="18">
        <v>7206</v>
      </c>
    </row>
    <row r="124" spans="1:11" x14ac:dyDescent="0.35">
      <c r="A124" s="17">
        <v>1457</v>
      </c>
      <c r="B124" s="17" t="s">
        <v>33</v>
      </c>
      <c r="C124" s="17">
        <v>2</v>
      </c>
      <c r="D124" s="17" t="s">
        <v>15</v>
      </c>
      <c r="E124" s="17">
        <v>50</v>
      </c>
      <c r="F124" s="17">
        <v>54</v>
      </c>
      <c r="G124" s="18">
        <v>6640</v>
      </c>
      <c r="H124" s="18">
        <v>6115</v>
      </c>
      <c r="I124" s="29">
        <v>0.42</v>
      </c>
      <c r="J124" s="18">
        <v>9429</v>
      </c>
      <c r="K124" s="18">
        <v>8683</v>
      </c>
    </row>
    <row r="125" spans="1:11" x14ac:dyDescent="0.35">
      <c r="A125" s="17">
        <v>1457</v>
      </c>
      <c r="B125" s="17" t="s">
        <v>33</v>
      </c>
      <c r="C125" s="17">
        <v>2</v>
      </c>
      <c r="D125" s="17" t="s">
        <v>16</v>
      </c>
      <c r="E125" s="17">
        <v>55</v>
      </c>
      <c r="F125" s="17">
        <v>59</v>
      </c>
      <c r="G125" s="18">
        <v>7860</v>
      </c>
      <c r="H125" s="18">
        <v>7220</v>
      </c>
      <c r="I125" s="29">
        <v>0.42</v>
      </c>
      <c r="J125" s="18">
        <v>11161</v>
      </c>
      <c r="K125" s="18">
        <v>10252</v>
      </c>
    </row>
    <row r="126" spans="1:11" x14ac:dyDescent="0.35">
      <c r="A126" s="17">
        <v>1457</v>
      </c>
      <c r="B126" s="17" t="s">
        <v>33</v>
      </c>
      <c r="C126" s="17">
        <v>2</v>
      </c>
      <c r="D126" s="17" t="s">
        <v>17</v>
      </c>
      <c r="E126" s="17">
        <v>60</v>
      </c>
      <c r="F126" s="17">
        <v>64</v>
      </c>
      <c r="G126" s="18">
        <v>9135</v>
      </c>
      <c r="H126" s="18">
        <v>8420</v>
      </c>
      <c r="I126" s="29">
        <v>0.42</v>
      </c>
      <c r="J126" s="18">
        <v>12972</v>
      </c>
      <c r="K126" s="18">
        <v>11956</v>
      </c>
    </row>
    <row r="127" spans="1:11" x14ac:dyDescent="0.35">
      <c r="A127" s="17">
        <v>1457</v>
      </c>
      <c r="B127" s="17" t="s">
        <v>33</v>
      </c>
      <c r="C127" s="17">
        <v>2</v>
      </c>
      <c r="D127" s="17" t="s">
        <v>18</v>
      </c>
      <c r="E127" s="17">
        <v>65</v>
      </c>
      <c r="F127" s="17">
        <v>69</v>
      </c>
      <c r="G127" s="18">
        <v>10455</v>
      </c>
      <c r="H127" s="18">
        <v>9585</v>
      </c>
      <c r="I127" s="29">
        <v>0.42</v>
      </c>
      <c r="J127" s="18">
        <v>14846</v>
      </c>
      <c r="K127" s="18">
        <v>13611</v>
      </c>
    </row>
    <row r="128" spans="1:11" x14ac:dyDescent="0.35">
      <c r="A128" s="17">
        <v>1457</v>
      </c>
      <c r="B128" s="17" t="s">
        <v>33</v>
      </c>
      <c r="C128" s="17">
        <v>3</v>
      </c>
      <c r="D128" s="17" t="s">
        <v>5</v>
      </c>
      <c r="E128" s="17">
        <v>0</v>
      </c>
      <c r="F128" s="17">
        <v>4</v>
      </c>
      <c r="G128" s="18">
        <v>1400</v>
      </c>
      <c r="H128" s="18">
        <v>1270</v>
      </c>
      <c r="I128" s="29">
        <v>0.42</v>
      </c>
      <c r="J128" s="18">
        <v>1988</v>
      </c>
      <c r="K128" s="18">
        <v>1803</v>
      </c>
    </row>
    <row r="129" spans="1:11" x14ac:dyDescent="0.35">
      <c r="A129" s="17">
        <v>1457</v>
      </c>
      <c r="B129" s="17" t="s">
        <v>33</v>
      </c>
      <c r="C129" s="17">
        <v>3</v>
      </c>
      <c r="D129" s="17" t="s">
        <v>6</v>
      </c>
      <c r="E129" s="17">
        <v>5</v>
      </c>
      <c r="F129" s="17">
        <v>9</v>
      </c>
      <c r="G129" s="18">
        <v>1575</v>
      </c>
      <c r="H129" s="18">
        <v>1450</v>
      </c>
      <c r="I129" s="29">
        <v>0.42</v>
      </c>
      <c r="J129" s="18">
        <v>2236</v>
      </c>
      <c r="K129" s="18">
        <v>2059</v>
      </c>
    </row>
    <row r="130" spans="1:11" x14ac:dyDescent="0.35">
      <c r="A130" s="17">
        <v>1457</v>
      </c>
      <c r="B130" s="17" t="s">
        <v>33</v>
      </c>
      <c r="C130" s="17">
        <v>3</v>
      </c>
      <c r="D130" s="17" t="s">
        <v>7</v>
      </c>
      <c r="E130" s="17">
        <v>10</v>
      </c>
      <c r="F130" s="17">
        <v>14</v>
      </c>
      <c r="G130" s="18">
        <v>1835</v>
      </c>
      <c r="H130" s="18">
        <v>1700</v>
      </c>
      <c r="I130" s="29">
        <v>0.42</v>
      </c>
      <c r="J130" s="18">
        <v>2606</v>
      </c>
      <c r="K130" s="18">
        <v>2414</v>
      </c>
    </row>
    <row r="131" spans="1:11" x14ac:dyDescent="0.35">
      <c r="A131" s="17">
        <v>1457</v>
      </c>
      <c r="B131" s="17" t="s">
        <v>33</v>
      </c>
      <c r="C131" s="17">
        <v>3</v>
      </c>
      <c r="D131" s="17" t="s">
        <v>8</v>
      </c>
      <c r="E131" s="17">
        <v>15</v>
      </c>
      <c r="F131" s="17">
        <v>19</v>
      </c>
      <c r="G131" s="18">
        <v>2125</v>
      </c>
      <c r="H131" s="18">
        <v>1985</v>
      </c>
      <c r="I131" s="29">
        <v>0.42</v>
      </c>
      <c r="J131" s="18">
        <v>3018</v>
      </c>
      <c r="K131" s="18">
        <v>2819</v>
      </c>
    </row>
    <row r="132" spans="1:11" x14ac:dyDescent="0.35">
      <c r="A132" s="17">
        <v>1457</v>
      </c>
      <c r="B132" s="17" t="s">
        <v>33</v>
      </c>
      <c r="C132" s="17">
        <v>3</v>
      </c>
      <c r="D132" s="17" t="s">
        <v>9</v>
      </c>
      <c r="E132" s="17">
        <v>20</v>
      </c>
      <c r="F132" s="17">
        <v>24</v>
      </c>
      <c r="G132" s="18">
        <v>2440</v>
      </c>
      <c r="H132" s="18">
        <v>2275</v>
      </c>
      <c r="I132" s="29">
        <v>0.42</v>
      </c>
      <c r="J132" s="18">
        <v>3465</v>
      </c>
      <c r="K132" s="18">
        <v>3230</v>
      </c>
    </row>
    <row r="133" spans="1:11" x14ac:dyDescent="0.35">
      <c r="A133" s="17">
        <v>1457</v>
      </c>
      <c r="B133" s="17" t="s">
        <v>33</v>
      </c>
      <c r="C133" s="17">
        <v>3</v>
      </c>
      <c r="D133" s="17" t="s">
        <v>10</v>
      </c>
      <c r="E133" s="17">
        <v>25</v>
      </c>
      <c r="F133" s="17">
        <v>29</v>
      </c>
      <c r="G133" s="18">
        <v>2860</v>
      </c>
      <c r="H133" s="18">
        <v>2610</v>
      </c>
      <c r="I133" s="29">
        <v>0.42</v>
      </c>
      <c r="J133" s="18">
        <v>4061</v>
      </c>
      <c r="K133" s="18">
        <v>3706</v>
      </c>
    </row>
    <row r="134" spans="1:11" x14ac:dyDescent="0.35">
      <c r="A134" s="17">
        <v>1457</v>
      </c>
      <c r="B134" s="17" t="s">
        <v>33</v>
      </c>
      <c r="C134" s="17">
        <v>3</v>
      </c>
      <c r="D134" s="17" t="s">
        <v>11</v>
      </c>
      <c r="E134" s="17">
        <v>30</v>
      </c>
      <c r="F134" s="17">
        <v>34</v>
      </c>
      <c r="G134" s="18">
        <v>3400</v>
      </c>
      <c r="H134" s="18">
        <v>3110</v>
      </c>
      <c r="I134" s="29">
        <v>0.42</v>
      </c>
      <c r="J134" s="18">
        <v>4828</v>
      </c>
      <c r="K134" s="18">
        <v>4416</v>
      </c>
    </row>
    <row r="135" spans="1:11" x14ac:dyDescent="0.35">
      <c r="A135" s="17">
        <v>1457</v>
      </c>
      <c r="B135" s="17" t="s">
        <v>33</v>
      </c>
      <c r="C135" s="17">
        <v>3</v>
      </c>
      <c r="D135" s="17" t="s">
        <v>12</v>
      </c>
      <c r="E135" s="17">
        <v>35</v>
      </c>
      <c r="F135" s="17">
        <v>39</v>
      </c>
      <c r="G135" s="18">
        <v>4025</v>
      </c>
      <c r="H135" s="18">
        <v>3690</v>
      </c>
      <c r="I135" s="29">
        <v>0.42</v>
      </c>
      <c r="J135" s="18">
        <v>5716</v>
      </c>
      <c r="K135" s="18">
        <v>5240</v>
      </c>
    </row>
    <row r="136" spans="1:11" x14ac:dyDescent="0.35">
      <c r="A136" s="17">
        <v>1457</v>
      </c>
      <c r="B136" s="17" t="s">
        <v>33</v>
      </c>
      <c r="C136" s="17">
        <v>3</v>
      </c>
      <c r="D136" s="17" t="s">
        <v>13</v>
      </c>
      <c r="E136" s="17">
        <v>40</v>
      </c>
      <c r="F136" s="17">
        <v>44</v>
      </c>
      <c r="G136" s="18">
        <v>4810</v>
      </c>
      <c r="H136" s="18">
        <v>4425</v>
      </c>
      <c r="I136" s="29">
        <v>0.42</v>
      </c>
      <c r="J136" s="18">
        <v>6830</v>
      </c>
      <c r="K136" s="18">
        <v>6284</v>
      </c>
    </row>
    <row r="137" spans="1:11" x14ac:dyDescent="0.35">
      <c r="A137" s="17">
        <v>1457</v>
      </c>
      <c r="B137" s="17" t="s">
        <v>33</v>
      </c>
      <c r="C137" s="17">
        <v>3</v>
      </c>
      <c r="D137" s="17" t="s">
        <v>14</v>
      </c>
      <c r="E137" s="17">
        <v>45</v>
      </c>
      <c r="F137" s="17">
        <v>49</v>
      </c>
      <c r="G137" s="18">
        <v>5745</v>
      </c>
      <c r="H137" s="18">
        <v>5290</v>
      </c>
      <c r="I137" s="29">
        <v>0.42</v>
      </c>
      <c r="J137" s="18">
        <v>8158</v>
      </c>
      <c r="K137" s="18">
        <v>7512</v>
      </c>
    </row>
    <row r="138" spans="1:11" x14ac:dyDescent="0.35">
      <c r="A138" s="17">
        <v>1457</v>
      </c>
      <c r="B138" s="17" t="s">
        <v>33</v>
      </c>
      <c r="C138" s="17">
        <v>3</v>
      </c>
      <c r="D138" s="17" t="s">
        <v>15</v>
      </c>
      <c r="E138" s="17">
        <v>50</v>
      </c>
      <c r="F138" s="17">
        <v>54</v>
      </c>
      <c r="G138" s="18">
        <v>6925</v>
      </c>
      <c r="H138" s="18">
        <v>6380</v>
      </c>
      <c r="I138" s="29">
        <v>0.42</v>
      </c>
      <c r="J138" s="18">
        <v>9834</v>
      </c>
      <c r="K138" s="18">
        <v>9060</v>
      </c>
    </row>
    <row r="139" spans="1:11" x14ac:dyDescent="0.35">
      <c r="A139" s="17">
        <v>1457</v>
      </c>
      <c r="B139" s="17" t="s">
        <v>33</v>
      </c>
      <c r="C139" s="17">
        <v>3</v>
      </c>
      <c r="D139" s="17" t="s">
        <v>16</v>
      </c>
      <c r="E139" s="17">
        <v>55</v>
      </c>
      <c r="F139" s="17">
        <v>59</v>
      </c>
      <c r="G139" s="18">
        <v>8200</v>
      </c>
      <c r="H139" s="18">
        <v>7530</v>
      </c>
      <c r="I139" s="29">
        <v>0.42</v>
      </c>
      <c r="J139" s="18">
        <v>11644</v>
      </c>
      <c r="K139" s="18">
        <v>10693</v>
      </c>
    </row>
    <row r="140" spans="1:11" x14ac:dyDescent="0.35">
      <c r="A140" s="17">
        <v>1457</v>
      </c>
      <c r="B140" s="17" t="s">
        <v>33</v>
      </c>
      <c r="C140" s="17">
        <v>3</v>
      </c>
      <c r="D140" s="17" t="s">
        <v>17</v>
      </c>
      <c r="E140" s="17">
        <v>60</v>
      </c>
      <c r="F140" s="17">
        <v>64</v>
      </c>
      <c r="G140" s="18">
        <v>9535</v>
      </c>
      <c r="H140" s="18">
        <v>8785</v>
      </c>
      <c r="I140" s="29">
        <v>0.42</v>
      </c>
      <c r="J140" s="18">
        <v>13540</v>
      </c>
      <c r="K140" s="18">
        <v>12475</v>
      </c>
    </row>
    <row r="141" spans="1:11" x14ac:dyDescent="0.35">
      <c r="A141" s="17">
        <v>1457</v>
      </c>
      <c r="B141" s="17" t="s">
        <v>33</v>
      </c>
      <c r="C141" s="17">
        <v>3</v>
      </c>
      <c r="D141" s="17" t="s">
        <v>18</v>
      </c>
      <c r="E141" s="17">
        <v>65</v>
      </c>
      <c r="F141" s="17">
        <v>69</v>
      </c>
      <c r="G141" s="18">
        <v>10910</v>
      </c>
      <c r="H141" s="18">
        <v>10000</v>
      </c>
      <c r="I141" s="29">
        <v>0.42</v>
      </c>
      <c r="J141" s="18">
        <v>15492</v>
      </c>
      <c r="K141" s="18">
        <v>14200</v>
      </c>
    </row>
    <row r="142" spans="1:11" x14ac:dyDescent="0.35">
      <c r="A142" s="17">
        <v>1457</v>
      </c>
      <c r="B142" s="17" t="s">
        <v>33</v>
      </c>
      <c r="C142" s="17">
        <v>4</v>
      </c>
      <c r="D142" s="17" t="s">
        <v>5</v>
      </c>
      <c r="E142" s="17">
        <v>0</v>
      </c>
      <c r="F142" s="17">
        <v>4</v>
      </c>
      <c r="G142" s="18">
        <v>1440</v>
      </c>
      <c r="H142" s="18">
        <v>1310</v>
      </c>
      <c r="I142" s="29">
        <v>0.42</v>
      </c>
      <c r="J142" s="18">
        <v>2045</v>
      </c>
      <c r="K142" s="18">
        <v>1860</v>
      </c>
    </row>
    <row r="143" spans="1:11" x14ac:dyDescent="0.35">
      <c r="A143" s="17">
        <v>1457</v>
      </c>
      <c r="B143" s="17" t="s">
        <v>33</v>
      </c>
      <c r="C143" s="17">
        <v>4</v>
      </c>
      <c r="D143" s="17" t="s">
        <v>6</v>
      </c>
      <c r="E143" s="17">
        <v>5</v>
      </c>
      <c r="F143" s="17">
        <v>9</v>
      </c>
      <c r="G143" s="18">
        <v>1620</v>
      </c>
      <c r="H143" s="18">
        <v>1495</v>
      </c>
      <c r="I143" s="29">
        <v>0.42</v>
      </c>
      <c r="J143" s="18">
        <v>2300</v>
      </c>
      <c r="K143" s="18">
        <v>2123</v>
      </c>
    </row>
    <row r="144" spans="1:11" x14ac:dyDescent="0.35">
      <c r="A144" s="17">
        <v>1457</v>
      </c>
      <c r="B144" s="17" t="s">
        <v>33</v>
      </c>
      <c r="C144" s="17">
        <v>4</v>
      </c>
      <c r="D144" s="17" t="s">
        <v>7</v>
      </c>
      <c r="E144" s="17">
        <v>10</v>
      </c>
      <c r="F144" s="17">
        <v>14</v>
      </c>
      <c r="G144" s="18">
        <v>1890</v>
      </c>
      <c r="H144" s="18">
        <v>1750</v>
      </c>
      <c r="I144" s="29">
        <v>0.42</v>
      </c>
      <c r="J144" s="18">
        <v>2684</v>
      </c>
      <c r="K144" s="18">
        <v>2485</v>
      </c>
    </row>
    <row r="145" spans="1:11" x14ac:dyDescent="0.35">
      <c r="A145" s="17">
        <v>1457</v>
      </c>
      <c r="B145" s="17" t="s">
        <v>33</v>
      </c>
      <c r="C145" s="17">
        <v>4</v>
      </c>
      <c r="D145" s="17" t="s">
        <v>8</v>
      </c>
      <c r="E145" s="17">
        <v>15</v>
      </c>
      <c r="F145" s="17">
        <v>19</v>
      </c>
      <c r="G145" s="18">
        <v>2190</v>
      </c>
      <c r="H145" s="18">
        <v>2045</v>
      </c>
      <c r="I145" s="29">
        <v>0.42</v>
      </c>
      <c r="J145" s="18">
        <v>3110</v>
      </c>
      <c r="K145" s="18">
        <v>2904</v>
      </c>
    </row>
    <row r="146" spans="1:11" x14ac:dyDescent="0.35">
      <c r="A146" s="17">
        <v>1457</v>
      </c>
      <c r="B146" s="17" t="s">
        <v>33</v>
      </c>
      <c r="C146" s="17">
        <v>4</v>
      </c>
      <c r="D146" s="17" t="s">
        <v>9</v>
      </c>
      <c r="E146" s="17">
        <v>20</v>
      </c>
      <c r="F146" s="17">
        <v>24</v>
      </c>
      <c r="G146" s="18">
        <v>2515</v>
      </c>
      <c r="H146" s="18">
        <v>2345</v>
      </c>
      <c r="I146" s="29">
        <v>0.42</v>
      </c>
      <c r="J146" s="18">
        <v>3571</v>
      </c>
      <c r="K146" s="18">
        <v>3330</v>
      </c>
    </row>
    <row r="147" spans="1:11" x14ac:dyDescent="0.35">
      <c r="A147" s="17">
        <v>1457</v>
      </c>
      <c r="B147" s="17" t="s">
        <v>33</v>
      </c>
      <c r="C147" s="17">
        <v>4</v>
      </c>
      <c r="D147" s="17" t="s">
        <v>10</v>
      </c>
      <c r="E147" s="17">
        <v>25</v>
      </c>
      <c r="F147" s="17">
        <v>29</v>
      </c>
      <c r="G147" s="18">
        <v>2950</v>
      </c>
      <c r="H147" s="18">
        <v>2690</v>
      </c>
      <c r="I147" s="29">
        <v>0.42</v>
      </c>
      <c r="J147" s="18">
        <v>4189</v>
      </c>
      <c r="K147" s="18">
        <v>3820</v>
      </c>
    </row>
    <row r="148" spans="1:11" x14ac:dyDescent="0.35">
      <c r="A148" s="17">
        <v>1457</v>
      </c>
      <c r="B148" s="17" t="s">
        <v>33</v>
      </c>
      <c r="C148" s="17">
        <v>4</v>
      </c>
      <c r="D148" s="17" t="s">
        <v>11</v>
      </c>
      <c r="E148" s="17">
        <v>30</v>
      </c>
      <c r="F148" s="17">
        <v>34</v>
      </c>
      <c r="G148" s="18">
        <v>3505</v>
      </c>
      <c r="H148" s="18">
        <v>3205</v>
      </c>
      <c r="I148" s="29">
        <v>0.42</v>
      </c>
      <c r="J148" s="18">
        <v>4977</v>
      </c>
      <c r="K148" s="18">
        <v>4551</v>
      </c>
    </row>
    <row r="149" spans="1:11" x14ac:dyDescent="0.35">
      <c r="A149" s="17">
        <v>1457</v>
      </c>
      <c r="B149" s="17" t="s">
        <v>33</v>
      </c>
      <c r="C149" s="17">
        <v>4</v>
      </c>
      <c r="D149" s="17" t="s">
        <v>12</v>
      </c>
      <c r="E149" s="17">
        <v>35</v>
      </c>
      <c r="F149" s="17">
        <v>39</v>
      </c>
      <c r="G149" s="18">
        <v>4150</v>
      </c>
      <c r="H149" s="18">
        <v>3805</v>
      </c>
      <c r="I149" s="29">
        <v>0.42</v>
      </c>
      <c r="J149" s="18">
        <v>5893</v>
      </c>
      <c r="K149" s="18">
        <v>5403</v>
      </c>
    </row>
    <row r="150" spans="1:11" x14ac:dyDescent="0.35">
      <c r="A150" s="17">
        <v>1457</v>
      </c>
      <c r="B150" s="17" t="s">
        <v>33</v>
      </c>
      <c r="C150" s="17">
        <v>4</v>
      </c>
      <c r="D150" s="17" t="s">
        <v>13</v>
      </c>
      <c r="E150" s="17">
        <v>40</v>
      </c>
      <c r="F150" s="17">
        <v>44</v>
      </c>
      <c r="G150" s="18">
        <v>4960</v>
      </c>
      <c r="H150" s="18">
        <v>4560</v>
      </c>
      <c r="I150" s="29">
        <v>0.42</v>
      </c>
      <c r="J150" s="18">
        <v>7043</v>
      </c>
      <c r="K150" s="18">
        <v>6475</v>
      </c>
    </row>
    <row r="151" spans="1:11" x14ac:dyDescent="0.35">
      <c r="A151" s="17">
        <v>1457</v>
      </c>
      <c r="B151" s="17" t="s">
        <v>33</v>
      </c>
      <c r="C151" s="17">
        <v>4</v>
      </c>
      <c r="D151" s="17" t="s">
        <v>14</v>
      </c>
      <c r="E151" s="17">
        <v>45</v>
      </c>
      <c r="F151" s="17">
        <v>49</v>
      </c>
      <c r="G151" s="18">
        <v>5925</v>
      </c>
      <c r="H151" s="18">
        <v>5455</v>
      </c>
      <c r="I151" s="29">
        <v>0.42</v>
      </c>
      <c r="J151" s="18">
        <v>8414</v>
      </c>
      <c r="K151" s="18">
        <v>7746</v>
      </c>
    </row>
    <row r="152" spans="1:11" x14ac:dyDescent="0.35">
      <c r="A152" s="17">
        <v>1457</v>
      </c>
      <c r="B152" s="17" t="s">
        <v>33</v>
      </c>
      <c r="C152" s="17">
        <v>4</v>
      </c>
      <c r="D152" s="17" t="s">
        <v>15</v>
      </c>
      <c r="E152" s="17">
        <v>50</v>
      </c>
      <c r="F152" s="17">
        <v>54</v>
      </c>
      <c r="G152" s="18">
        <v>7145</v>
      </c>
      <c r="H152" s="18">
        <v>6580</v>
      </c>
      <c r="I152" s="29">
        <v>0.42</v>
      </c>
      <c r="J152" s="18">
        <v>10146</v>
      </c>
      <c r="K152" s="18">
        <v>9344</v>
      </c>
    </row>
    <row r="153" spans="1:11" x14ac:dyDescent="0.35">
      <c r="A153" s="17">
        <v>1457</v>
      </c>
      <c r="B153" s="17" t="s">
        <v>33</v>
      </c>
      <c r="C153" s="17">
        <v>4</v>
      </c>
      <c r="D153" s="17" t="s">
        <v>16</v>
      </c>
      <c r="E153" s="17">
        <v>55</v>
      </c>
      <c r="F153" s="17">
        <v>59</v>
      </c>
      <c r="G153" s="18">
        <v>8460</v>
      </c>
      <c r="H153" s="18">
        <v>7770</v>
      </c>
      <c r="I153" s="29">
        <v>0.42</v>
      </c>
      <c r="J153" s="18">
        <v>12013</v>
      </c>
      <c r="K153" s="18">
        <v>11033</v>
      </c>
    </row>
    <row r="154" spans="1:11" x14ac:dyDescent="0.35">
      <c r="A154" s="17">
        <v>1457</v>
      </c>
      <c r="B154" s="17" t="s">
        <v>33</v>
      </c>
      <c r="C154" s="17">
        <v>4</v>
      </c>
      <c r="D154" s="17" t="s">
        <v>17</v>
      </c>
      <c r="E154" s="17">
        <v>60</v>
      </c>
      <c r="F154" s="17">
        <v>64</v>
      </c>
      <c r="G154" s="18">
        <v>9840</v>
      </c>
      <c r="H154" s="18">
        <v>9070</v>
      </c>
      <c r="I154" s="29">
        <v>0.42</v>
      </c>
      <c r="J154" s="18">
        <v>13973</v>
      </c>
      <c r="K154" s="18">
        <v>12879</v>
      </c>
    </row>
    <row r="155" spans="1:11" x14ac:dyDescent="0.35">
      <c r="A155" s="17">
        <v>1457</v>
      </c>
      <c r="B155" s="17" t="s">
        <v>33</v>
      </c>
      <c r="C155" s="17">
        <v>4</v>
      </c>
      <c r="D155" s="17" t="s">
        <v>18</v>
      </c>
      <c r="E155" s="17">
        <v>65</v>
      </c>
      <c r="F155" s="17">
        <v>69</v>
      </c>
      <c r="G155" s="18">
        <v>11260</v>
      </c>
      <c r="H155" s="18">
        <v>10325</v>
      </c>
      <c r="I155" s="29">
        <v>0.42</v>
      </c>
      <c r="J155" s="18">
        <v>15989</v>
      </c>
      <c r="K155" s="18">
        <v>14662</v>
      </c>
    </row>
    <row r="156" spans="1:11" x14ac:dyDescent="0.35">
      <c r="A156" s="17">
        <v>1457</v>
      </c>
      <c r="B156" s="17" t="s">
        <v>33</v>
      </c>
      <c r="C156" s="17">
        <v>5</v>
      </c>
      <c r="D156" s="17" t="s">
        <v>5</v>
      </c>
      <c r="E156" s="17">
        <v>0</v>
      </c>
      <c r="F156" s="17">
        <v>4</v>
      </c>
      <c r="G156" s="18">
        <v>1315</v>
      </c>
      <c r="H156" s="18">
        <v>1195</v>
      </c>
      <c r="I156" s="29">
        <v>0.42</v>
      </c>
      <c r="J156" s="18">
        <v>1867</v>
      </c>
      <c r="K156" s="18">
        <v>1697</v>
      </c>
    </row>
    <row r="157" spans="1:11" x14ac:dyDescent="0.35">
      <c r="A157" s="17">
        <v>1457</v>
      </c>
      <c r="B157" s="17" t="s">
        <v>33</v>
      </c>
      <c r="C157" s="17">
        <v>5</v>
      </c>
      <c r="D157" s="17" t="s">
        <v>6</v>
      </c>
      <c r="E157" s="17">
        <v>5</v>
      </c>
      <c r="F157" s="17">
        <v>9</v>
      </c>
      <c r="G157" s="18">
        <v>1485</v>
      </c>
      <c r="H157" s="18">
        <v>1365</v>
      </c>
      <c r="I157" s="29">
        <v>0.42</v>
      </c>
      <c r="J157" s="18">
        <v>2109</v>
      </c>
      <c r="K157" s="18">
        <v>1938</v>
      </c>
    </row>
    <row r="158" spans="1:11" x14ac:dyDescent="0.35">
      <c r="A158" s="17">
        <v>1457</v>
      </c>
      <c r="B158" s="17" t="s">
        <v>33</v>
      </c>
      <c r="C158" s="17">
        <v>5</v>
      </c>
      <c r="D158" s="17" t="s">
        <v>7</v>
      </c>
      <c r="E158" s="17">
        <v>10</v>
      </c>
      <c r="F158" s="17">
        <v>14</v>
      </c>
      <c r="G158" s="18">
        <v>1730</v>
      </c>
      <c r="H158" s="18">
        <v>1600</v>
      </c>
      <c r="I158" s="29">
        <v>0.42</v>
      </c>
      <c r="J158" s="18">
        <v>2457</v>
      </c>
      <c r="K158" s="18">
        <v>2272</v>
      </c>
    </row>
    <row r="159" spans="1:11" x14ac:dyDescent="0.35">
      <c r="A159" s="17">
        <v>1457</v>
      </c>
      <c r="B159" s="17" t="s">
        <v>33</v>
      </c>
      <c r="C159" s="17">
        <v>5</v>
      </c>
      <c r="D159" s="17" t="s">
        <v>8</v>
      </c>
      <c r="E159" s="17">
        <v>15</v>
      </c>
      <c r="F159" s="17">
        <v>19</v>
      </c>
      <c r="G159" s="18">
        <v>2005</v>
      </c>
      <c r="H159" s="18">
        <v>1870</v>
      </c>
      <c r="I159" s="29">
        <v>0.42</v>
      </c>
      <c r="J159" s="18">
        <v>2847</v>
      </c>
      <c r="K159" s="18">
        <v>2655</v>
      </c>
    </row>
    <row r="160" spans="1:11" x14ac:dyDescent="0.35">
      <c r="A160" s="17">
        <v>1457</v>
      </c>
      <c r="B160" s="17" t="s">
        <v>33</v>
      </c>
      <c r="C160" s="17">
        <v>5</v>
      </c>
      <c r="D160" s="17" t="s">
        <v>9</v>
      </c>
      <c r="E160" s="17">
        <v>20</v>
      </c>
      <c r="F160" s="17">
        <v>24</v>
      </c>
      <c r="G160" s="18">
        <v>2300</v>
      </c>
      <c r="H160" s="18">
        <v>2145</v>
      </c>
      <c r="I160" s="29">
        <v>0.42</v>
      </c>
      <c r="J160" s="18">
        <v>3266</v>
      </c>
      <c r="K160" s="18">
        <v>3046</v>
      </c>
    </row>
    <row r="161" spans="1:11" x14ac:dyDescent="0.35">
      <c r="A161" s="17">
        <v>1457</v>
      </c>
      <c r="B161" s="17" t="s">
        <v>33</v>
      </c>
      <c r="C161" s="17">
        <v>5</v>
      </c>
      <c r="D161" s="17" t="s">
        <v>10</v>
      </c>
      <c r="E161" s="17">
        <v>25</v>
      </c>
      <c r="F161" s="17">
        <v>29</v>
      </c>
      <c r="G161" s="18">
        <v>2700</v>
      </c>
      <c r="H161" s="18">
        <v>2460</v>
      </c>
      <c r="I161" s="29">
        <v>0.42</v>
      </c>
      <c r="J161" s="18">
        <v>3834</v>
      </c>
      <c r="K161" s="18">
        <v>3493</v>
      </c>
    </row>
    <row r="162" spans="1:11" x14ac:dyDescent="0.35">
      <c r="A162" s="17">
        <v>1457</v>
      </c>
      <c r="B162" s="17" t="s">
        <v>33</v>
      </c>
      <c r="C162" s="17">
        <v>5</v>
      </c>
      <c r="D162" s="17" t="s">
        <v>11</v>
      </c>
      <c r="E162" s="17">
        <v>30</v>
      </c>
      <c r="F162" s="17">
        <v>34</v>
      </c>
      <c r="G162" s="18">
        <v>3210</v>
      </c>
      <c r="H162" s="18">
        <v>2935</v>
      </c>
      <c r="I162" s="29">
        <v>0.42</v>
      </c>
      <c r="J162" s="18">
        <v>4558</v>
      </c>
      <c r="K162" s="18">
        <v>4168</v>
      </c>
    </row>
    <row r="163" spans="1:11" x14ac:dyDescent="0.35">
      <c r="A163" s="17">
        <v>1457</v>
      </c>
      <c r="B163" s="17" t="s">
        <v>33</v>
      </c>
      <c r="C163" s="17">
        <v>5</v>
      </c>
      <c r="D163" s="17" t="s">
        <v>12</v>
      </c>
      <c r="E163" s="17">
        <v>35</v>
      </c>
      <c r="F163" s="17">
        <v>39</v>
      </c>
      <c r="G163" s="18">
        <v>3800</v>
      </c>
      <c r="H163" s="18">
        <v>3485</v>
      </c>
      <c r="I163" s="29">
        <v>0.42</v>
      </c>
      <c r="J163" s="18">
        <v>5396</v>
      </c>
      <c r="K163" s="18">
        <v>4949</v>
      </c>
    </row>
    <row r="164" spans="1:11" x14ac:dyDescent="0.35">
      <c r="A164" s="17">
        <v>1457</v>
      </c>
      <c r="B164" s="17" t="s">
        <v>33</v>
      </c>
      <c r="C164" s="17">
        <v>5</v>
      </c>
      <c r="D164" s="17" t="s">
        <v>13</v>
      </c>
      <c r="E164" s="17">
        <v>40</v>
      </c>
      <c r="F164" s="17">
        <v>44</v>
      </c>
      <c r="G164" s="18">
        <v>4545</v>
      </c>
      <c r="H164" s="18">
        <v>4180</v>
      </c>
      <c r="I164" s="29">
        <v>0.42</v>
      </c>
      <c r="J164" s="18">
        <v>6454</v>
      </c>
      <c r="K164" s="18">
        <v>5936</v>
      </c>
    </row>
    <row r="165" spans="1:11" x14ac:dyDescent="0.35">
      <c r="A165" s="17">
        <v>1457</v>
      </c>
      <c r="B165" s="17" t="s">
        <v>33</v>
      </c>
      <c r="C165" s="17">
        <v>5</v>
      </c>
      <c r="D165" s="17" t="s">
        <v>14</v>
      </c>
      <c r="E165" s="17">
        <v>45</v>
      </c>
      <c r="F165" s="17">
        <v>49</v>
      </c>
      <c r="G165" s="18">
        <v>5430</v>
      </c>
      <c r="H165" s="18">
        <v>5000</v>
      </c>
      <c r="I165" s="29">
        <v>0.42</v>
      </c>
      <c r="J165" s="18">
        <v>7711</v>
      </c>
      <c r="K165" s="18">
        <v>7100</v>
      </c>
    </row>
    <row r="166" spans="1:11" x14ac:dyDescent="0.35">
      <c r="A166" s="17">
        <v>1457</v>
      </c>
      <c r="B166" s="17" t="s">
        <v>33</v>
      </c>
      <c r="C166" s="17">
        <v>5</v>
      </c>
      <c r="D166" s="17" t="s">
        <v>15</v>
      </c>
      <c r="E166" s="17">
        <v>50</v>
      </c>
      <c r="F166" s="17">
        <v>54</v>
      </c>
      <c r="G166" s="18">
        <v>6550</v>
      </c>
      <c r="H166" s="18">
        <v>6035</v>
      </c>
      <c r="I166" s="29">
        <v>0.42</v>
      </c>
      <c r="J166" s="18">
        <v>9301</v>
      </c>
      <c r="K166" s="18">
        <v>8570</v>
      </c>
    </row>
    <row r="167" spans="1:11" x14ac:dyDescent="0.35">
      <c r="A167" s="17">
        <v>1457</v>
      </c>
      <c r="B167" s="17" t="s">
        <v>33</v>
      </c>
      <c r="C167" s="17">
        <v>5</v>
      </c>
      <c r="D167" s="17" t="s">
        <v>16</v>
      </c>
      <c r="E167" s="17">
        <v>55</v>
      </c>
      <c r="F167" s="17">
        <v>59</v>
      </c>
      <c r="G167" s="18">
        <v>7760</v>
      </c>
      <c r="H167" s="18">
        <v>7125</v>
      </c>
      <c r="I167" s="29">
        <v>0.42</v>
      </c>
      <c r="J167" s="18">
        <v>11019</v>
      </c>
      <c r="K167" s="18">
        <v>10118</v>
      </c>
    </row>
    <row r="168" spans="1:11" x14ac:dyDescent="0.35">
      <c r="A168" s="17">
        <v>1457</v>
      </c>
      <c r="B168" s="17" t="s">
        <v>33</v>
      </c>
      <c r="C168" s="17">
        <v>5</v>
      </c>
      <c r="D168" s="17" t="s">
        <v>17</v>
      </c>
      <c r="E168" s="17">
        <v>60</v>
      </c>
      <c r="F168" s="17">
        <v>64</v>
      </c>
      <c r="G168" s="18">
        <v>9025</v>
      </c>
      <c r="H168" s="18">
        <v>8320</v>
      </c>
      <c r="I168" s="29">
        <v>0.42</v>
      </c>
      <c r="J168" s="18">
        <v>12816</v>
      </c>
      <c r="K168" s="18">
        <v>11814</v>
      </c>
    </row>
    <row r="169" spans="1:11" x14ac:dyDescent="0.35">
      <c r="A169" s="17">
        <v>1457</v>
      </c>
      <c r="B169" s="17" t="s">
        <v>33</v>
      </c>
      <c r="C169" s="17">
        <v>5</v>
      </c>
      <c r="D169" s="17" t="s">
        <v>18</v>
      </c>
      <c r="E169" s="17">
        <v>65</v>
      </c>
      <c r="F169" s="17">
        <v>69</v>
      </c>
      <c r="G169" s="18">
        <v>10330</v>
      </c>
      <c r="H169" s="18">
        <v>9475</v>
      </c>
      <c r="I169" s="29">
        <v>0.42</v>
      </c>
      <c r="J169" s="18">
        <v>14669</v>
      </c>
      <c r="K169" s="18">
        <v>13454</v>
      </c>
    </row>
    <row r="170" spans="1:11" x14ac:dyDescent="0.35">
      <c r="A170" s="17">
        <v>1525</v>
      </c>
      <c r="B170" s="17" t="s">
        <v>34</v>
      </c>
      <c r="C170" s="17">
        <v>1</v>
      </c>
      <c r="D170" s="17" t="s">
        <v>5</v>
      </c>
      <c r="E170" s="17">
        <v>0</v>
      </c>
      <c r="F170" s="17">
        <v>4</v>
      </c>
      <c r="G170" s="18">
        <v>1195</v>
      </c>
      <c r="H170" s="18">
        <v>1080</v>
      </c>
      <c r="I170" s="29">
        <v>0.03</v>
      </c>
      <c r="J170" s="18">
        <v>1231</v>
      </c>
      <c r="K170" s="18">
        <v>1112</v>
      </c>
    </row>
    <row r="171" spans="1:11" x14ac:dyDescent="0.35">
      <c r="A171" s="17">
        <v>1525</v>
      </c>
      <c r="B171" s="17" t="s">
        <v>34</v>
      </c>
      <c r="C171" s="17">
        <v>1</v>
      </c>
      <c r="D171" s="17" t="s">
        <v>6</v>
      </c>
      <c r="E171" s="17">
        <v>5</v>
      </c>
      <c r="F171" s="17">
        <v>9</v>
      </c>
      <c r="G171" s="18">
        <v>1310</v>
      </c>
      <c r="H171" s="18">
        <v>1200</v>
      </c>
      <c r="I171" s="29">
        <v>0.03</v>
      </c>
      <c r="J171" s="18">
        <v>1349</v>
      </c>
      <c r="K171" s="18">
        <v>1236</v>
      </c>
    </row>
    <row r="172" spans="1:11" x14ac:dyDescent="0.35">
      <c r="A172" s="17">
        <v>1525</v>
      </c>
      <c r="B172" s="17" t="s">
        <v>34</v>
      </c>
      <c r="C172" s="17">
        <v>1</v>
      </c>
      <c r="D172" s="17" t="s">
        <v>7</v>
      </c>
      <c r="E172" s="17">
        <v>10</v>
      </c>
      <c r="F172" s="17">
        <v>14</v>
      </c>
      <c r="G172" s="18">
        <v>1490</v>
      </c>
      <c r="H172" s="18">
        <v>1395</v>
      </c>
      <c r="I172" s="29">
        <v>0.03</v>
      </c>
      <c r="J172" s="18">
        <v>1535</v>
      </c>
      <c r="K172" s="18">
        <v>1437</v>
      </c>
    </row>
    <row r="173" spans="1:11" x14ac:dyDescent="0.35">
      <c r="A173" s="17">
        <v>1525</v>
      </c>
      <c r="B173" s="17" t="s">
        <v>34</v>
      </c>
      <c r="C173" s="17">
        <v>1</v>
      </c>
      <c r="D173" s="17" t="s">
        <v>8</v>
      </c>
      <c r="E173" s="17">
        <v>15</v>
      </c>
      <c r="F173" s="17">
        <v>19</v>
      </c>
      <c r="G173" s="18">
        <v>1695</v>
      </c>
      <c r="H173" s="18">
        <v>1590</v>
      </c>
      <c r="I173" s="29">
        <v>0.03</v>
      </c>
      <c r="J173" s="18">
        <v>1746</v>
      </c>
      <c r="K173" s="18">
        <v>1638</v>
      </c>
    </row>
    <row r="174" spans="1:11" x14ac:dyDescent="0.35">
      <c r="A174" s="17">
        <v>1525</v>
      </c>
      <c r="B174" s="17" t="s">
        <v>34</v>
      </c>
      <c r="C174" s="17">
        <v>1</v>
      </c>
      <c r="D174" s="17" t="s">
        <v>9</v>
      </c>
      <c r="E174" s="17">
        <v>20</v>
      </c>
      <c r="F174" s="17">
        <v>24</v>
      </c>
      <c r="G174" s="18">
        <v>1920</v>
      </c>
      <c r="H174" s="18">
        <v>1795</v>
      </c>
      <c r="I174" s="29">
        <v>0.03</v>
      </c>
      <c r="J174" s="18">
        <v>1978</v>
      </c>
      <c r="K174" s="18">
        <v>1849</v>
      </c>
    </row>
    <row r="175" spans="1:11" x14ac:dyDescent="0.35">
      <c r="A175" s="17">
        <v>1525</v>
      </c>
      <c r="B175" s="17" t="s">
        <v>34</v>
      </c>
      <c r="C175" s="17">
        <v>1</v>
      </c>
      <c r="D175" s="17" t="s">
        <v>10</v>
      </c>
      <c r="E175" s="17">
        <v>25</v>
      </c>
      <c r="F175" s="17">
        <v>29</v>
      </c>
      <c r="G175" s="18">
        <v>2225</v>
      </c>
      <c r="H175" s="18">
        <v>2045</v>
      </c>
      <c r="I175" s="29">
        <v>0.03</v>
      </c>
      <c r="J175" s="18">
        <v>2292</v>
      </c>
      <c r="K175" s="18">
        <v>2106</v>
      </c>
    </row>
    <row r="176" spans="1:11" x14ac:dyDescent="0.35">
      <c r="A176" s="17">
        <v>1525</v>
      </c>
      <c r="B176" s="17" t="s">
        <v>34</v>
      </c>
      <c r="C176" s="17">
        <v>1</v>
      </c>
      <c r="D176" s="17" t="s">
        <v>11</v>
      </c>
      <c r="E176" s="17">
        <v>30</v>
      </c>
      <c r="F176" s="17">
        <v>34</v>
      </c>
      <c r="G176" s="18">
        <v>2635</v>
      </c>
      <c r="H176" s="18">
        <v>2435</v>
      </c>
      <c r="I176" s="29">
        <v>0.03</v>
      </c>
      <c r="J176" s="18">
        <v>2714</v>
      </c>
      <c r="K176" s="18">
        <v>2508</v>
      </c>
    </row>
    <row r="177" spans="1:11" x14ac:dyDescent="0.35">
      <c r="A177" s="17">
        <v>1525</v>
      </c>
      <c r="B177" s="17" t="s">
        <v>34</v>
      </c>
      <c r="C177" s="17">
        <v>1</v>
      </c>
      <c r="D177" s="17" t="s">
        <v>12</v>
      </c>
      <c r="E177" s="17">
        <v>35</v>
      </c>
      <c r="F177" s="17">
        <v>39</v>
      </c>
      <c r="G177" s="18">
        <v>3125</v>
      </c>
      <c r="H177" s="18">
        <v>2895</v>
      </c>
      <c r="I177" s="29">
        <v>0.03</v>
      </c>
      <c r="J177" s="18">
        <v>3219</v>
      </c>
      <c r="K177" s="18">
        <v>2982</v>
      </c>
    </row>
    <row r="178" spans="1:11" x14ac:dyDescent="0.35">
      <c r="A178" s="17">
        <v>1525</v>
      </c>
      <c r="B178" s="17" t="s">
        <v>34</v>
      </c>
      <c r="C178" s="17">
        <v>1</v>
      </c>
      <c r="D178" s="17" t="s">
        <v>13</v>
      </c>
      <c r="E178" s="17">
        <v>40</v>
      </c>
      <c r="F178" s="17">
        <v>44</v>
      </c>
      <c r="G178" s="18">
        <v>3710</v>
      </c>
      <c r="H178" s="18">
        <v>3465</v>
      </c>
      <c r="I178" s="29">
        <v>0.03</v>
      </c>
      <c r="J178" s="18">
        <v>3821</v>
      </c>
      <c r="K178" s="18">
        <v>3569</v>
      </c>
    </row>
    <row r="179" spans="1:11" x14ac:dyDescent="0.35">
      <c r="A179" s="17">
        <v>1525</v>
      </c>
      <c r="B179" s="17" t="s">
        <v>34</v>
      </c>
      <c r="C179" s="17">
        <v>1</v>
      </c>
      <c r="D179" s="17" t="s">
        <v>14</v>
      </c>
      <c r="E179" s="17">
        <v>45</v>
      </c>
      <c r="F179" s="17">
        <v>49</v>
      </c>
      <c r="G179" s="18">
        <v>4410</v>
      </c>
      <c r="H179" s="18">
        <v>4130</v>
      </c>
      <c r="I179" s="29">
        <v>0.03</v>
      </c>
      <c r="J179" s="18">
        <v>4542</v>
      </c>
      <c r="K179" s="18">
        <v>4254</v>
      </c>
    </row>
    <row r="180" spans="1:11" x14ac:dyDescent="0.35">
      <c r="A180" s="17">
        <v>1525</v>
      </c>
      <c r="B180" s="17" t="s">
        <v>34</v>
      </c>
      <c r="C180" s="17">
        <v>1</v>
      </c>
      <c r="D180" s="17" t="s">
        <v>15</v>
      </c>
      <c r="E180" s="17">
        <v>50</v>
      </c>
      <c r="F180" s="17">
        <v>54</v>
      </c>
      <c r="G180" s="18">
        <v>5285</v>
      </c>
      <c r="H180" s="18">
        <v>4935</v>
      </c>
      <c r="I180" s="29">
        <v>0.03</v>
      </c>
      <c r="J180" s="18">
        <v>5444</v>
      </c>
      <c r="K180" s="18">
        <v>5083</v>
      </c>
    </row>
    <row r="181" spans="1:11" x14ac:dyDescent="0.35">
      <c r="A181" s="17">
        <v>1525</v>
      </c>
      <c r="B181" s="17" t="s">
        <v>34</v>
      </c>
      <c r="C181" s="17">
        <v>1</v>
      </c>
      <c r="D181" s="17" t="s">
        <v>16</v>
      </c>
      <c r="E181" s="17">
        <v>55</v>
      </c>
      <c r="F181" s="17">
        <v>59</v>
      </c>
      <c r="G181" s="18">
        <v>6230</v>
      </c>
      <c r="H181" s="18">
        <v>5840</v>
      </c>
      <c r="I181" s="29">
        <v>0.03</v>
      </c>
      <c r="J181" s="18">
        <v>6417</v>
      </c>
      <c r="K181" s="18">
        <v>6015</v>
      </c>
    </row>
    <row r="182" spans="1:11" x14ac:dyDescent="0.35">
      <c r="A182" s="17">
        <v>1525</v>
      </c>
      <c r="B182" s="17" t="s">
        <v>34</v>
      </c>
      <c r="C182" s="17">
        <v>1</v>
      </c>
      <c r="D182" s="17" t="s">
        <v>17</v>
      </c>
      <c r="E182" s="17">
        <v>60</v>
      </c>
      <c r="F182" s="17">
        <v>64</v>
      </c>
      <c r="G182" s="18">
        <v>7190</v>
      </c>
      <c r="H182" s="18">
        <v>6735</v>
      </c>
      <c r="I182" s="29">
        <v>0.03</v>
      </c>
      <c r="J182" s="18">
        <v>7406</v>
      </c>
      <c r="K182" s="18">
        <v>6937</v>
      </c>
    </row>
    <row r="183" spans="1:11" x14ac:dyDescent="0.35">
      <c r="A183" s="17">
        <v>1525</v>
      </c>
      <c r="B183" s="17" t="s">
        <v>34</v>
      </c>
      <c r="C183" s="17">
        <v>1</v>
      </c>
      <c r="D183" s="17" t="s">
        <v>18</v>
      </c>
      <c r="E183" s="17">
        <v>65</v>
      </c>
      <c r="F183" s="17">
        <v>69</v>
      </c>
      <c r="G183" s="18">
        <v>8135</v>
      </c>
      <c r="H183" s="18">
        <v>7645</v>
      </c>
      <c r="I183" s="29">
        <v>0.03</v>
      </c>
      <c r="J183" s="18">
        <v>8379</v>
      </c>
      <c r="K183" s="18">
        <v>7874</v>
      </c>
    </row>
    <row r="184" spans="1:11" x14ac:dyDescent="0.35">
      <c r="A184" s="17">
        <v>1525</v>
      </c>
      <c r="B184" s="17" t="s">
        <v>34</v>
      </c>
      <c r="C184" s="17">
        <v>2</v>
      </c>
      <c r="D184" s="17" t="s">
        <v>5</v>
      </c>
      <c r="E184" s="17">
        <v>0</v>
      </c>
      <c r="F184" s="17">
        <v>4</v>
      </c>
      <c r="G184" s="18">
        <v>1175</v>
      </c>
      <c r="H184" s="18">
        <v>1065</v>
      </c>
      <c r="I184" s="29">
        <v>0.03</v>
      </c>
      <c r="J184" s="18">
        <v>1210</v>
      </c>
      <c r="K184" s="18">
        <v>1097</v>
      </c>
    </row>
    <row r="185" spans="1:11" x14ac:dyDescent="0.35">
      <c r="A185" s="17">
        <v>1525</v>
      </c>
      <c r="B185" s="17" t="s">
        <v>34</v>
      </c>
      <c r="C185" s="17">
        <v>2</v>
      </c>
      <c r="D185" s="17" t="s">
        <v>6</v>
      </c>
      <c r="E185" s="17">
        <v>5</v>
      </c>
      <c r="F185" s="17">
        <v>9</v>
      </c>
      <c r="G185" s="18">
        <v>1290</v>
      </c>
      <c r="H185" s="18">
        <v>1180</v>
      </c>
      <c r="I185" s="29">
        <v>0.03</v>
      </c>
      <c r="J185" s="18">
        <v>1329</v>
      </c>
      <c r="K185" s="18">
        <v>1215</v>
      </c>
    </row>
    <row r="186" spans="1:11" x14ac:dyDescent="0.35">
      <c r="A186" s="17">
        <v>1525</v>
      </c>
      <c r="B186" s="17" t="s">
        <v>34</v>
      </c>
      <c r="C186" s="17">
        <v>2</v>
      </c>
      <c r="D186" s="17" t="s">
        <v>7</v>
      </c>
      <c r="E186" s="17">
        <v>10</v>
      </c>
      <c r="F186" s="17">
        <v>14</v>
      </c>
      <c r="G186" s="18">
        <v>1470</v>
      </c>
      <c r="H186" s="18">
        <v>1375</v>
      </c>
      <c r="I186" s="29">
        <v>0.03</v>
      </c>
      <c r="J186" s="18">
        <v>1514</v>
      </c>
      <c r="K186" s="18">
        <v>1416</v>
      </c>
    </row>
    <row r="187" spans="1:11" x14ac:dyDescent="0.35">
      <c r="A187" s="17">
        <v>1525</v>
      </c>
      <c r="B187" s="17" t="s">
        <v>34</v>
      </c>
      <c r="C187" s="17">
        <v>2</v>
      </c>
      <c r="D187" s="17" t="s">
        <v>8</v>
      </c>
      <c r="E187" s="17">
        <v>15</v>
      </c>
      <c r="F187" s="17">
        <v>19</v>
      </c>
      <c r="G187" s="18">
        <v>1670</v>
      </c>
      <c r="H187" s="18">
        <v>1565</v>
      </c>
      <c r="I187" s="29">
        <v>0.03</v>
      </c>
      <c r="J187" s="18">
        <v>1720</v>
      </c>
      <c r="K187" s="18">
        <v>1612</v>
      </c>
    </row>
    <row r="188" spans="1:11" x14ac:dyDescent="0.35">
      <c r="A188" s="17">
        <v>1525</v>
      </c>
      <c r="B188" s="17" t="s">
        <v>34</v>
      </c>
      <c r="C188" s="17">
        <v>2</v>
      </c>
      <c r="D188" s="17" t="s">
        <v>9</v>
      </c>
      <c r="E188" s="17">
        <v>20</v>
      </c>
      <c r="F188" s="17">
        <v>24</v>
      </c>
      <c r="G188" s="18">
        <v>1895</v>
      </c>
      <c r="H188" s="18">
        <v>1770</v>
      </c>
      <c r="I188" s="29">
        <v>0.03</v>
      </c>
      <c r="J188" s="18">
        <v>1952</v>
      </c>
      <c r="K188" s="18">
        <v>1823</v>
      </c>
    </row>
    <row r="189" spans="1:11" x14ac:dyDescent="0.35">
      <c r="A189" s="17">
        <v>1525</v>
      </c>
      <c r="B189" s="17" t="s">
        <v>34</v>
      </c>
      <c r="C189" s="17">
        <v>2</v>
      </c>
      <c r="D189" s="17" t="s">
        <v>10</v>
      </c>
      <c r="E189" s="17">
        <v>25</v>
      </c>
      <c r="F189" s="17">
        <v>29</v>
      </c>
      <c r="G189" s="18">
        <v>2195</v>
      </c>
      <c r="H189" s="18">
        <v>2015</v>
      </c>
      <c r="I189" s="29">
        <v>0.03</v>
      </c>
      <c r="J189" s="18">
        <v>2261</v>
      </c>
      <c r="K189" s="18">
        <v>2075</v>
      </c>
    </row>
    <row r="190" spans="1:11" x14ac:dyDescent="0.35">
      <c r="A190" s="17">
        <v>1525</v>
      </c>
      <c r="B190" s="17" t="s">
        <v>34</v>
      </c>
      <c r="C190" s="17">
        <v>2</v>
      </c>
      <c r="D190" s="17" t="s">
        <v>11</v>
      </c>
      <c r="E190" s="17">
        <v>30</v>
      </c>
      <c r="F190" s="17">
        <v>34</v>
      </c>
      <c r="G190" s="18">
        <v>2600</v>
      </c>
      <c r="H190" s="18">
        <v>2400</v>
      </c>
      <c r="I190" s="29">
        <v>0.03</v>
      </c>
      <c r="J190" s="18">
        <v>2678</v>
      </c>
      <c r="K190" s="18">
        <v>2472</v>
      </c>
    </row>
    <row r="191" spans="1:11" x14ac:dyDescent="0.35">
      <c r="A191" s="17">
        <v>1525</v>
      </c>
      <c r="B191" s="17" t="s">
        <v>34</v>
      </c>
      <c r="C191" s="17">
        <v>2</v>
      </c>
      <c r="D191" s="17" t="s">
        <v>12</v>
      </c>
      <c r="E191" s="17">
        <v>35</v>
      </c>
      <c r="F191" s="17">
        <v>39</v>
      </c>
      <c r="G191" s="18">
        <v>3085</v>
      </c>
      <c r="H191" s="18">
        <v>2855</v>
      </c>
      <c r="I191" s="29">
        <v>0.03</v>
      </c>
      <c r="J191" s="18">
        <v>3178</v>
      </c>
      <c r="K191" s="18">
        <v>2941</v>
      </c>
    </row>
    <row r="192" spans="1:11" x14ac:dyDescent="0.35">
      <c r="A192" s="17">
        <v>1525</v>
      </c>
      <c r="B192" s="17" t="s">
        <v>34</v>
      </c>
      <c r="C192" s="17">
        <v>2</v>
      </c>
      <c r="D192" s="17" t="s">
        <v>13</v>
      </c>
      <c r="E192" s="17">
        <v>40</v>
      </c>
      <c r="F192" s="17">
        <v>44</v>
      </c>
      <c r="G192" s="18">
        <v>3660</v>
      </c>
      <c r="H192" s="18">
        <v>3420</v>
      </c>
      <c r="I192" s="29">
        <v>0.03</v>
      </c>
      <c r="J192" s="18">
        <v>3770</v>
      </c>
      <c r="K192" s="18">
        <v>3523</v>
      </c>
    </row>
    <row r="193" spans="1:11" x14ac:dyDescent="0.35">
      <c r="A193" s="17">
        <v>1525</v>
      </c>
      <c r="B193" s="17" t="s">
        <v>34</v>
      </c>
      <c r="C193" s="17">
        <v>2</v>
      </c>
      <c r="D193" s="17" t="s">
        <v>14</v>
      </c>
      <c r="E193" s="17">
        <v>45</v>
      </c>
      <c r="F193" s="17">
        <v>49</v>
      </c>
      <c r="G193" s="18">
        <v>4355</v>
      </c>
      <c r="H193" s="18">
        <v>4075</v>
      </c>
      <c r="I193" s="29">
        <v>0.03</v>
      </c>
      <c r="J193" s="18">
        <v>4486</v>
      </c>
      <c r="K193" s="18">
        <v>4197</v>
      </c>
    </row>
    <row r="194" spans="1:11" x14ac:dyDescent="0.35">
      <c r="A194" s="17">
        <v>1525</v>
      </c>
      <c r="B194" s="17" t="s">
        <v>34</v>
      </c>
      <c r="C194" s="17">
        <v>2</v>
      </c>
      <c r="D194" s="17" t="s">
        <v>15</v>
      </c>
      <c r="E194" s="17">
        <v>50</v>
      </c>
      <c r="F194" s="17">
        <v>54</v>
      </c>
      <c r="G194" s="18">
        <v>5220</v>
      </c>
      <c r="H194" s="18">
        <v>4870</v>
      </c>
      <c r="I194" s="29">
        <v>0.03</v>
      </c>
      <c r="J194" s="18">
        <v>5377</v>
      </c>
      <c r="K194" s="18">
        <v>5016</v>
      </c>
    </row>
    <row r="195" spans="1:11" x14ac:dyDescent="0.35">
      <c r="A195" s="17">
        <v>1525</v>
      </c>
      <c r="B195" s="17" t="s">
        <v>34</v>
      </c>
      <c r="C195" s="17">
        <v>2</v>
      </c>
      <c r="D195" s="17" t="s">
        <v>16</v>
      </c>
      <c r="E195" s="17">
        <v>55</v>
      </c>
      <c r="F195" s="17">
        <v>59</v>
      </c>
      <c r="G195" s="18">
        <v>6150</v>
      </c>
      <c r="H195" s="18">
        <v>5765</v>
      </c>
      <c r="I195" s="29">
        <v>0.03</v>
      </c>
      <c r="J195" s="18">
        <v>6334</v>
      </c>
      <c r="K195" s="18">
        <v>5938</v>
      </c>
    </row>
    <row r="196" spans="1:11" x14ac:dyDescent="0.35">
      <c r="A196" s="17">
        <v>1525</v>
      </c>
      <c r="B196" s="17" t="s">
        <v>34</v>
      </c>
      <c r="C196" s="17">
        <v>2</v>
      </c>
      <c r="D196" s="17" t="s">
        <v>17</v>
      </c>
      <c r="E196" s="17">
        <v>60</v>
      </c>
      <c r="F196" s="17">
        <v>64</v>
      </c>
      <c r="G196" s="18">
        <v>7100</v>
      </c>
      <c r="H196" s="18">
        <v>6650</v>
      </c>
      <c r="I196" s="29">
        <v>0.03</v>
      </c>
      <c r="J196" s="18">
        <v>7313</v>
      </c>
      <c r="K196" s="18">
        <v>6850</v>
      </c>
    </row>
    <row r="197" spans="1:11" x14ac:dyDescent="0.35">
      <c r="A197" s="17">
        <v>1525</v>
      </c>
      <c r="B197" s="17" t="s">
        <v>34</v>
      </c>
      <c r="C197" s="17">
        <v>2</v>
      </c>
      <c r="D197" s="17" t="s">
        <v>18</v>
      </c>
      <c r="E197" s="17">
        <v>65</v>
      </c>
      <c r="F197" s="17">
        <v>69</v>
      </c>
      <c r="G197" s="18">
        <v>8035</v>
      </c>
      <c r="H197" s="18">
        <v>7555</v>
      </c>
      <c r="I197" s="29">
        <v>0.03</v>
      </c>
      <c r="J197" s="18">
        <v>8276</v>
      </c>
      <c r="K197" s="18">
        <v>7782</v>
      </c>
    </row>
    <row r="198" spans="1:11" x14ac:dyDescent="0.35">
      <c r="A198" s="17">
        <v>1638</v>
      </c>
      <c r="B198" s="17" t="s">
        <v>35</v>
      </c>
      <c r="C198" s="17">
        <v>1</v>
      </c>
      <c r="D198" s="17" t="s">
        <v>5</v>
      </c>
      <c r="E198" s="17">
        <v>0</v>
      </c>
      <c r="F198" s="17">
        <v>4</v>
      </c>
      <c r="G198" s="18">
        <v>1200</v>
      </c>
      <c r="H198" s="18">
        <v>1100</v>
      </c>
      <c r="I198" s="29">
        <v>0.05</v>
      </c>
      <c r="J198" s="18">
        <v>1200</v>
      </c>
      <c r="K198" s="18">
        <v>1100</v>
      </c>
    </row>
    <row r="199" spans="1:11" x14ac:dyDescent="0.35">
      <c r="A199" s="17">
        <v>1638</v>
      </c>
      <c r="B199" s="17" t="s">
        <v>35</v>
      </c>
      <c r="C199" s="17">
        <v>1</v>
      </c>
      <c r="D199" s="17" t="s">
        <v>6</v>
      </c>
      <c r="E199" s="17">
        <v>5</v>
      </c>
      <c r="F199" s="17">
        <v>9</v>
      </c>
      <c r="G199" s="18">
        <v>1300</v>
      </c>
      <c r="H199" s="18">
        <v>1200</v>
      </c>
      <c r="I199" s="29">
        <v>0.05</v>
      </c>
      <c r="J199" s="18">
        <v>1300</v>
      </c>
      <c r="K199" s="18">
        <v>1200</v>
      </c>
    </row>
    <row r="200" spans="1:11" x14ac:dyDescent="0.35">
      <c r="A200" s="17">
        <v>1638</v>
      </c>
      <c r="B200" s="17" t="s">
        <v>35</v>
      </c>
      <c r="C200" s="17">
        <v>1</v>
      </c>
      <c r="D200" s="17" t="s">
        <v>7</v>
      </c>
      <c r="E200" s="17">
        <v>10</v>
      </c>
      <c r="F200" s="17">
        <v>14</v>
      </c>
      <c r="G200" s="18">
        <v>1500</v>
      </c>
      <c r="H200" s="18">
        <v>1400</v>
      </c>
      <c r="I200" s="29">
        <v>0.05</v>
      </c>
      <c r="J200" s="18">
        <v>1500</v>
      </c>
      <c r="K200" s="18">
        <v>1400</v>
      </c>
    </row>
    <row r="201" spans="1:11" x14ac:dyDescent="0.35">
      <c r="A201" s="17">
        <v>1638</v>
      </c>
      <c r="B201" s="17" t="s">
        <v>35</v>
      </c>
      <c r="C201" s="17">
        <v>1</v>
      </c>
      <c r="D201" s="17" t="s">
        <v>8</v>
      </c>
      <c r="E201" s="17">
        <v>15</v>
      </c>
      <c r="F201" s="17">
        <v>19</v>
      </c>
      <c r="G201" s="18">
        <v>1700</v>
      </c>
      <c r="H201" s="18">
        <v>1600</v>
      </c>
      <c r="I201" s="29">
        <v>0.05</v>
      </c>
      <c r="J201" s="18">
        <v>1700</v>
      </c>
      <c r="K201" s="18">
        <v>1600</v>
      </c>
    </row>
    <row r="202" spans="1:11" x14ac:dyDescent="0.35">
      <c r="A202" s="17">
        <v>1638</v>
      </c>
      <c r="B202" s="17" t="s">
        <v>35</v>
      </c>
      <c r="C202" s="17">
        <v>1</v>
      </c>
      <c r="D202" s="17" t="s">
        <v>9</v>
      </c>
      <c r="E202" s="17">
        <v>20</v>
      </c>
      <c r="F202" s="17">
        <v>24</v>
      </c>
      <c r="G202" s="18">
        <v>1900</v>
      </c>
      <c r="H202" s="18">
        <v>1800</v>
      </c>
      <c r="I202" s="29">
        <v>0.05</v>
      </c>
      <c r="J202" s="18">
        <v>1900</v>
      </c>
      <c r="K202" s="18">
        <v>1800</v>
      </c>
    </row>
    <row r="203" spans="1:11" x14ac:dyDescent="0.35">
      <c r="A203" s="17">
        <v>1638</v>
      </c>
      <c r="B203" s="17" t="s">
        <v>35</v>
      </c>
      <c r="C203" s="17">
        <v>1</v>
      </c>
      <c r="D203" s="17" t="s">
        <v>10</v>
      </c>
      <c r="E203" s="17">
        <v>25</v>
      </c>
      <c r="F203" s="17">
        <v>29</v>
      </c>
      <c r="G203" s="18">
        <v>2200</v>
      </c>
      <c r="H203" s="18">
        <v>2000</v>
      </c>
      <c r="I203" s="29">
        <v>0.05</v>
      </c>
      <c r="J203" s="18">
        <v>2200</v>
      </c>
      <c r="K203" s="18">
        <v>2000</v>
      </c>
    </row>
    <row r="204" spans="1:11" x14ac:dyDescent="0.35">
      <c r="A204" s="17">
        <v>1638</v>
      </c>
      <c r="B204" s="17" t="s">
        <v>35</v>
      </c>
      <c r="C204" s="17">
        <v>1</v>
      </c>
      <c r="D204" s="17" t="s">
        <v>11</v>
      </c>
      <c r="E204" s="17">
        <v>30</v>
      </c>
      <c r="F204" s="17">
        <v>34</v>
      </c>
      <c r="G204" s="18">
        <v>2600</v>
      </c>
      <c r="H204" s="18">
        <v>2400</v>
      </c>
      <c r="I204" s="29">
        <v>0.05</v>
      </c>
      <c r="J204" s="18">
        <v>2600</v>
      </c>
      <c r="K204" s="18">
        <v>2400</v>
      </c>
    </row>
    <row r="205" spans="1:11" x14ac:dyDescent="0.35">
      <c r="A205" s="17">
        <v>1638</v>
      </c>
      <c r="B205" s="17" t="s">
        <v>35</v>
      </c>
      <c r="C205" s="17">
        <v>1</v>
      </c>
      <c r="D205" s="17" t="s">
        <v>12</v>
      </c>
      <c r="E205" s="17">
        <v>35</v>
      </c>
      <c r="F205" s="17">
        <v>39</v>
      </c>
      <c r="G205" s="18">
        <v>3000</v>
      </c>
      <c r="H205" s="18">
        <v>2800</v>
      </c>
      <c r="I205" s="29">
        <v>0.05</v>
      </c>
      <c r="J205" s="18">
        <v>3000</v>
      </c>
      <c r="K205" s="18">
        <v>2800</v>
      </c>
    </row>
    <row r="206" spans="1:11" x14ac:dyDescent="0.35">
      <c r="A206" s="17">
        <v>1638</v>
      </c>
      <c r="B206" s="17" t="s">
        <v>35</v>
      </c>
      <c r="C206" s="17">
        <v>1</v>
      </c>
      <c r="D206" s="17" t="s">
        <v>13</v>
      </c>
      <c r="E206" s="17">
        <v>40</v>
      </c>
      <c r="F206" s="17">
        <v>44</v>
      </c>
      <c r="G206" s="18">
        <v>3500</v>
      </c>
      <c r="H206" s="18">
        <v>3300</v>
      </c>
      <c r="I206" s="29">
        <v>0.05</v>
      </c>
      <c r="J206" s="18">
        <v>3500</v>
      </c>
      <c r="K206" s="18">
        <v>3300</v>
      </c>
    </row>
    <row r="207" spans="1:11" x14ac:dyDescent="0.35">
      <c r="A207" s="17">
        <v>1638</v>
      </c>
      <c r="B207" s="17" t="s">
        <v>35</v>
      </c>
      <c r="C207" s="17">
        <v>1</v>
      </c>
      <c r="D207" s="17" t="s">
        <v>14</v>
      </c>
      <c r="E207" s="17">
        <v>45</v>
      </c>
      <c r="F207" s="17">
        <v>49</v>
      </c>
      <c r="G207" s="18">
        <v>4200</v>
      </c>
      <c r="H207" s="18">
        <v>3900</v>
      </c>
      <c r="I207" s="29">
        <v>0.05</v>
      </c>
      <c r="J207" s="18">
        <v>4200</v>
      </c>
      <c r="K207" s="18">
        <v>3900</v>
      </c>
    </row>
    <row r="208" spans="1:11" x14ac:dyDescent="0.35">
      <c r="A208" s="17">
        <v>1638</v>
      </c>
      <c r="B208" s="17" t="s">
        <v>35</v>
      </c>
      <c r="C208" s="17">
        <v>1</v>
      </c>
      <c r="D208" s="17" t="s">
        <v>15</v>
      </c>
      <c r="E208" s="17">
        <v>50</v>
      </c>
      <c r="F208" s="17">
        <v>54</v>
      </c>
      <c r="G208" s="18">
        <v>5000</v>
      </c>
      <c r="H208" s="18">
        <v>4700</v>
      </c>
      <c r="I208" s="29">
        <v>0.05</v>
      </c>
      <c r="J208" s="18">
        <v>5000</v>
      </c>
      <c r="K208" s="18">
        <v>4700</v>
      </c>
    </row>
    <row r="209" spans="1:11" x14ac:dyDescent="0.35">
      <c r="A209" s="17">
        <v>1638</v>
      </c>
      <c r="B209" s="17" t="s">
        <v>35</v>
      </c>
      <c r="C209" s="17">
        <v>1</v>
      </c>
      <c r="D209" s="17" t="s">
        <v>16</v>
      </c>
      <c r="E209" s="17">
        <v>55</v>
      </c>
      <c r="F209" s="17">
        <v>59</v>
      </c>
      <c r="G209" s="18">
        <v>5800</v>
      </c>
      <c r="H209" s="18">
        <v>5500</v>
      </c>
      <c r="I209" s="29">
        <v>0.05</v>
      </c>
      <c r="J209" s="18">
        <v>5800</v>
      </c>
      <c r="K209" s="18">
        <v>5500</v>
      </c>
    </row>
    <row r="210" spans="1:11" x14ac:dyDescent="0.35">
      <c r="A210" s="17">
        <v>1638</v>
      </c>
      <c r="B210" s="17" t="s">
        <v>35</v>
      </c>
      <c r="C210" s="17">
        <v>1</v>
      </c>
      <c r="D210" s="17" t="s">
        <v>17</v>
      </c>
      <c r="E210" s="17">
        <v>60</v>
      </c>
      <c r="F210" s="17">
        <v>64</v>
      </c>
      <c r="G210" s="18">
        <v>6600</v>
      </c>
      <c r="H210" s="18">
        <v>6200</v>
      </c>
      <c r="I210" s="29">
        <v>0.05</v>
      </c>
      <c r="J210" s="18">
        <v>6600</v>
      </c>
      <c r="K210" s="18">
        <v>6200</v>
      </c>
    </row>
    <row r="211" spans="1:11" x14ac:dyDescent="0.35">
      <c r="A211" s="17">
        <v>1638</v>
      </c>
      <c r="B211" s="17" t="s">
        <v>35</v>
      </c>
      <c r="C211" s="17">
        <v>1</v>
      </c>
      <c r="D211" s="17" t="s">
        <v>18</v>
      </c>
      <c r="E211" s="17">
        <v>65</v>
      </c>
      <c r="F211" s="17">
        <v>69</v>
      </c>
      <c r="G211" s="18">
        <v>7200</v>
      </c>
      <c r="H211" s="18">
        <v>6800</v>
      </c>
      <c r="I211" s="29">
        <v>0.05</v>
      </c>
      <c r="J211" s="18">
        <v>7200</v>
      </c>
      <c r="K211" s="18">
        <v>6800</v>
      </c>
    </row>
    <row r="212" spans="1:11" x14ac:dyDescent="0.35">
      <c r="A212" s="17">
        <v>1756</v>
      </c>
      <c r="B212" s="17" t="s">
        <v>36</v>
      </c>
      <c r="C212" s="17">
        <v>1</v>
      </c>
      <c r="D212" s="17" t="s">
        <v>5</v>
      </c>
      <c r="E212" s="17">
        <v>0</v>
      </c>
      <c r="F212" s="17">
        <v>4</v>
      </c>
      <c r="G212" s="18">
        <v>1145</v>
      </c>
      <c r="H212" s="18">
        <v>1040</v>
      </c>
      <c r="I212" s="29">
        <v>0.16</v>
      </c>
      <c r="J212" s="18">
        <v>1328</v>
      </c>
      <c r="K212" s="18">
        <v>1206</v>
      </c>
    </row>
    <row r="213" spans="1:11" x14ac:dyDescent="0.35">
      <c r="A213" s="17">
        <v>1756</v>
      </c>
      <c r="B213" s="17" t="s">
        <v>36</v>
      </c>
      <c r="C213" s="17">
        <v>1</v>
      </c>
      <c r="D213" s="17" t="s">
        <v>6</v>
      </c>
      <c r="E213" s="17">
        <v>5</v>
      </c>
      <c r="F213" s="17">
        <v>9</v>
      </c>
      <c r="G213" s="18">
        <v>1245</v>
      </c>
      <c r="H213" s="18">
        <v>1145</v>
      </c>
      <c r="I213" s="29">
        <v>0.16</v>
      </c>
      <c r="J213" s="18">
        <v>1444</v>
      </c>
      <c r="K213" s="18">
        <v>1328</v>
      </c>
    </row>
    <row r="214" spans="1:11" x14ac:dyDescent="0.35">
      <c r="A214" s="17">
        <v>1756</v>
      </c>
      <c r="B214" s="17" t="s">
        <v>36</v>
      </c>
      <c r="C214" s="17">
        <v>1</v>
      </c>
      <c r="D214" s="17" t="s">
        <v>7</v>
      </c>
      <c r="E214" s="17">
        <v>10</v>
      </c>
      <c r="F214" s="17">
        <v>14</v>
      </c>
      <c r="G214" s="18">
        <v>1410</v>
      </c>
      <c r="H214" s="18">
        <v>1305</v>
      </c>
      <c r="I214" s="29">
        <v>0.16</v>
      </c>
      <c r="J214" s="18">
        <v>1636</v>
      </c>
      <c r="K214" s="18">
        <v>1514</v>
      </c>
    </row>
    <row r="215" spans="1:11" x14ac:dyDescent="0.35">
      <c r="A215" s="17">
        <v>1756</v>
      </c>
      <c r="B215" s="17" t="s">
        <v>36</v>
      </c>
      <c r="C215" s="17">
        <v>1</v>
      </c>
      <c r="D215" s="17" t="s">
        <v>8</v>
      </c>
      <c r="E215" s="17">
        <v>15</v>
      </c>
      <c r="F215" s="17">
        <v>19</v>
      </c>
      <c r="G215" s="18">
        <v>1605</v>
      </c>
      <c r="H215" s="18">
        <v>1485</v>
      </c>
      <c r="I215" s="29">
        <v>0.16</v>
      </c>
      <c r="J215" s="18">
        <v>1862</v>
      </c>
      <c r="K215" s="18">
        <v>1723</v>
      </c>
    </row>
    <row r="216" spans="1:11" x14ac:dyDescent="0.35">
      <c r="A216" s="17">
        <v>1756</v>
      </c>
      <c r="B216" s="17" t="s">
        <v>36</v>
      </c>
      <c r="C216" s="17">
        <v>1</v>
      </c>
      <c r="D216" s="17" t="s">
        <v>9</v>
      </c>
      <c r="E216" s="17">
        <v>20</v>
      </c>
      <c r="F216" s="17">
        <v>24</v>
      </c>
      <c r="G216" s="18">
        <v>1795</v>
      </c>
      <c r="H216" s="18">
        <v>1660</v>
      </c>
      <c r="I216" s="29">
        <v>0.16</v>
      </c>
      <c r="J216" s="18">
        <v>2082</v>
      </c>
      <c r="K216" s="18">
        <v>1926</v>
      </c>
    </row>
    <row r="217" spans="1:11" x14ac:dyDescent="0.35">
      <c r="A217" s="17">
        <v>1756</v>
      </c>
      <c r="B217" s="17" t="s">
        <v>36</v>
      </c>
      <c r="C217" s="17">
        <v>1</v>
      </c>
      <c r="D217" s="17" t="s">
        <v>10</v>
      </c>
      <c r="E217" s="17">
        <v>25</v>
      </c>
      <c r="F217" s="17">
        <v>29</v>
      </c>
      <c r="G217" s="18">
        <v>2075</v>
      </c>
      <c r="H217" s="18">
        <v>1895</v>
      </c>
      <c r="I217" s="29">
        <v>0.16</v>
      </c>
      <c r="J217" s="18">
        <v>2407</v>
      </c>
      <c r="K217" s="18">
        <v>2198</v>
      </c>
    </row>
    <row r="218" spans="1:11" x14ac:dyDescent="0.35">
      <c r="A218" s="17">
        <v>1756</v>
      </c>
      <c r="B218" s="17" t="s">
        <v>36</v>
      </c>
      <c r="C218" s="17">
        <v>1</v>
      </c>
      <c r="D218" s="17" t="s">
        <v>11</v>
      </c>
      <c r="E218" s="17">
        <v>30</v>
      </c>
      <c r="F218" s="17">
        <v>34</v>
      </c>
      <c r="G218" s="18">
        <v>2440</v>
      </c>
      <c r="H218" s="18">
        <v>2245</v>
      </c>
      <c r="I218" s="29">
        <v>0.16</v>
      </c>
      <c r="J218" s="18">
        <v>2830</v>
      </c>
      <c r="K218" s="18">
        <v>2604</v>
      </c>
    </row>
    <row r="219" spans="1:11" x14ac:dyDescent="0.35">
      <c r="A219" s="17">
        <v>1756</v>
      </c>
      <c r="B219" s="17" t="s">
        <v>36</v>
      </c>
      <c r="C219" s="17">
        <v>1</v>
      </c>
      <c r="D219" s="17" t="s">
        <v>12</v>
      </c>
      <c r="E219" s="17">
        <v>35</v>
      </c>
      <c r="F219" s="17">
        <v>39</v>
      </c>
      <c r="G219" s="18">
        <v>2865</v>
      </c>
      <c r="H219" s="18">
        <v>2640</v>
      </c>
      <c r="I219" s="29">
        <v>0.16</v>
      </c>
      <c r="J219" s="18">
        <v>3323</v>
      </c>
      <c r="K219" s="18">
        <v>3062</v>
      </c>
    </row>
    <row r="220" spans="1:11" x14ac:dyDescent="0.35">
      <c r="A220" s="17">
        <v>1756</v>
      </c>
      <c r="B220" s="17" t="s">
        <v>36</v>
      </c>
      <c r="C220" s="17">
        <v>1</v>
      </c>
      <c r="D220" s="17" t="s">
        <v>13</v>
      </c>
      <c r="E220" s="17">
        <v>40</v>
      </c>
      <c r="F220" s="17">
        <v>44</v>
      </c>
      <c r="G220" s="18">
        <v>3375</v>
      </c>
      <c r="H220" s="18">
        <v>3125</v>
      </c>
      <c r="I220" s="29">
        <v>0.16</v>
      </c>
      <c r="J220" s="18">
        <v>3915</v>
      </c>
      <c r="K220" s="18">
        <v>3625</v>
      </c>
    </row>
    <row r="221" spans="1:11" x14ac:dyDescent="0.35">
      <c r="A221" s="17">
        <v>1756</v>
      </c>
      <c r="B221" s="17" t="s">
        <v>36</v>
      </c>
      <c r="C221" s="17">
        <v>1</v>
      </c>
      <c r="D221" s="17" t="s">
        <v>14</v>
      </c>
      <c r="E221" s="17">
        <v>45</v>
      </c>
      <c r="F221" s="17">
        <v>49</v>
      </c>
      <c r="G221" s="18">
        <v>4015</v>
      </c>
      <c r="H221" s="18">
        <v>3710</v>
      </c>
      <c r="I221" s="29">
        <v>0.16</v>
      </c>
      <c r="J221" s="18">
        <v>4657</v>
      </c>
      <c r="K221" s="18">
        <v>4304</v>
      </c>
    </row>
    <row r="222" spans="1:11" x14ac:dyDescent="0.35">
      <c r="A222" s="17">
        <v>1756</v>
      </c>
      <c r="B222" s="17" t="s">
        <v>36</v>
      </c>
      <c r="C222" s="17">
        <v>1</v>
      </c>
      <c r="D222" s="17" t="s">
        <v>15</v>
      </c>
      <c r="E222" s="17">
        <v>50</v>
      </c>
      <c r="F222" s="17">
        <v>54</v>
      </c>
      <c r="G222" s="18">
        <v>4790</v>
      </c>
      <c r="H222" s="18">
        <v>4435</v>
      </c>
      <c r="I222" s="29">
        <v>0.16</v>
      </c>
      <c r="J222" s="18">
        <v>5556</v>
      </c>
      <c r="K222" s="18">
        <v>5145</v>
      </c>
    </row>
    <row r="223" spans="1:11" x14ac:dyDescent="0.35">
      <c r="A223" s="17">
        <v>1756</v>
      </c>
      <c r="B223" s="17" t="s">
        <v>36</v>
      </c>
      <c r="C223" s="17">
        <v>1</v>
      </c>
      <c r="D223" s="17" t="s">
        <v>16</v>
      </c>
      <c r="E223" s="17">
        <v>55</v>
      </c>
      <c r="F223" s="17">
        <v>59</v>
      </c>
      <c r="G223" s="18">
        <v>5655</v>
      </c>
      <c r="H223" s="18">
        <v>5255</v>
      </c>
      <c r="I223" s="29">
        <v>0.16</v>
      </c>
      <c r="J223" s="18">
        <v>6560</v>
      </c>
      <c r="K223" s="18">
        <v>6096</v>
      </c>
    </row>
    <row r="224" spans="1:11" x14ac:dyDescent="0.35">
      <c r="A224" s="17">
        <v>1756</v>
      </c>
      <c r="B224" s="17" t="s">
        <v>36</v>
      </c>
      <c r="C224" s="17">
        <v>1</v>
      </c>
      <c r="D224" s="17" t="s">
        <v>17</v>
      </c>
      <c r="E224" s="17">
        <v>60</v>
      </c>
      <c r="F224" s="17">
        <v>64</v>
      </c>
      <c r="G224" s="18">
        <v>6530</v>
      </c>
      <c r="H224" s="18">
        <v>6060</v>
      </c>
      <c r="I224" s="29">
        <v>0.16</v>
      </c>
      <c r="J224" s="18">
        <v>7575</v>
      </c>
      <c r="K224" s="18">
        <v>7030</v>
      </c>
    </row>
    <row r="225" spans="1:11" x14ac:dyDescent="0.35">
      <c r="A225" s="17">
        <v>1756</v>
      </c>
      <c r="B225" s="17" t="s">
        <v>36</v>
      </c>
      <c r="C225" s="17">
        <v>1</v>
      </c>
      <c r="D225" s="17" t="s">
        <v>18</v>
      </c>
      <c r="E225" s="17">
        <v>65</v>
      </c>
      <c r="F225" s="17">
        <v>69</v>
      </c>
      <c r="G225" s="18">
        <v>7390</v>
      </c>
      <c r="H225" s="18">
        <v>6880</v>
      </c>
      <c r="I225" s="29">
        <v>0.16</v>
      </c>
      <c r="J225" s="18">
        <v>8572</v>
      </c>
      <c r="K225" s="18">
        <v>7981</v>
      </c>
    </row>
    <row r="226" spans="1:11" x14ac:dyDescent="0.35">
      <c r="A226" s="17">
        <v>1787</v>
      </c>
      <c r="B226" s="17" t="s">
        <v>37</v>
      </c>
      <c r="C226" s="17">
        <v>1</v>
      </c>
      <c r="D226" s="17" t="s">
        <v>5</v>
      </c>
      <c r="E226" s="17">
        <v>0</v>
      </c>
      <c r="F226" s="17">
        <v>4</v>
      </c>
      <c r="G226" s="18">
        <v>1260</v>
      </c>
      <c r="H226" s="18">
        <v>1155</v>
      </c>
      <c r="I226" s="29">
        <v>0.25</v>
      </c>
      <c r="J226" s="18">
        <v>1575</v>
      </c>
      <c r="K226" s="18">
        <v>1444</v>
      </c>
    </row>
    <row r="227" spans="1:11" x14ac:dyDescent="0.35">
      <c r="A227" s="17">
        <v>1787</v>
      </c>
      <c r="B227" s="17" t="s">
        <v>37</v>
      </c>
      <c r="C227" s="17">
        <v>1</v>
      </c>
      <c r="D227" s="17" t="s">
        <v>6</v>
      </c>
      <c r="E227" s="17">
        <v>5</v>
      </c>
      <c r="F227" s="17">
        <v>9</v>
      </c>
      <c r="G227" s="18">
        <v>1395</v>
      </c>
      <c r="H227" s="18">
        <v>1285</v>
      </c>
      <c r="I227" s="29">
        <v>0.25</v>
      </c>
      <c r="J227" s="18">
        <v>1744</v>
      </c>
      <c r="K227" s="18">
        <v>1606</v>
      </c>
    </row>
    <row r="228" spans="1:11" x14ac:dyDescent="0.35">
      <c r="A228" s="17">
        <v>1787</v>
      </c>
      <c r="B228" s="17" t="s">
        <v>37</v>
      </c>
      <c r="C228" s="17">
        <v>1</v>
      </c>
      <c r="D228" s="17" t="s">
        <v>7</v>
      </c>
      <c r="E228" s="17">
        <v>10</v>
      </c>
      <c r="F228" s="17">
        <v>14</v>
      </c>
      <c r="G228" s="18">
        <v>1610</v>
      </c>
      <c r="H228" s="18">
        <v>1500</v>
      </c>
      <c r="I228" s="29">
        <v>0.25</v>
      </c>
      <c r="J228" s="18">
        <v>2012</v>
      </c>
      <c r="K228" s="18">
        <v>1875</v>
      </c>
    </row>
    <row r="229" spans="1:11" x14ac:dyDescent="0.35">
      <c r="A229" s="17">
        <v>1787</v>
      </c>
      <c r="B229" s="17" t="s">
        <v>37</v>
      </c>
      <c r="C229" s="17">
        <v>1</v>
      </c>
      <c r="D229" s="17" t="s">
        <v>8</v>
      </c>
      <c r="E229" s="17">
        <v>15</v>
      </c>
      <c r="F229" s="17">
        <v>19</v>
      </c>
      <c r="G229" s="18">
        <v>1860</v>
      </c>
      <c r="H229" s="18">
        <v>1735</v>
      </c>
      <c r="I229" s="29">
        <v>0.25</v>
      </c>
      <c r="J229" s="18">
        <v>2325</v>
      </c>
      <c r="K229" s="18">
        <v>2169</v>
      </c>
    </row>
    <row r="230" spans="1:11" x14ac:dyDescent="0.35">
      <c r="A230" s="17">
        <v>1787</v>
      </c>
      <c r="B230" s="17" t="s">
        <v>37</v>
      </c>
      <c r="C230" s="17">
        <v>1</v>
      </c>
      <c r="D230" s="17" t="s">
        <v>9</v>
      </c>
      <c r="E230" s="17">
        <v>20</v>
      </c>
      <c r="F230" s="17">
        <v>24</v>
      </c>
      <c r="G230" s="18">
        <v>2130</v>
      </c>
      <c r="H230" s="18">
        <v>1985</v>
      </c>
      <c r="I230" s="29">
        <v>0.25</v>
      </c>
      <c r="J230" s="18">
        <v>2662</v>
      </c>
      <c r="K230" s="18">
        <v>2481</v>
      </c>
    </row>
    <row r="231" spans="1:11" x14ac:dyDescent="0.35">
      <c r="A231" s="17">
        <v>1787</v>
      </c>
      <c r="B231" s="17" t="s">
        <v>37</v>
      </c>
      <c r="C231" s="17">
        <v>1</v>
      </c>
      <c r="D231" s="17" t="s">
        <v>10</v>
      </c>
      <c r="E231" s="17">
        <v>25</v>
      </c>
      <c r="F231" s="17">
        <v>29</v>
      </c>
      <c r="G231" s="18">
        <v>2490</v>
      </c>
      <c r="H231" s="18">
        <v>2290</v>
      </c>
      <c r="I231" s="29">
        <v>0.25</v>
      </c>
      <c r="J231" s="18">
        <v>3112</v>
      </c>
      <c r="K231" s="18">
        <v>2862</v>
      </c>
    </row>
    <row r="232" spans="1:11" x14ac:dyDescent="0.35">
      <c r="A232" s="17">
        <v>1787</v>
      </c>
      <c r="B232" s="17" t="s">
        <v>37</v>
      </c>
      <c r="C232" s="17">
        <v>1</v>
      </c>
      <c r="D232" s="17" t="s">
        <v>11</v>
      </c>
      <c r="E232" s="17">
        <v>30</v>
      </c>
      <c r="F232" s="17">
        <v>34</v>
      </c>
      <c r="G232" s="18">
        <v>2965</v>
      </c>
      <c r="H232" s="18">
        <v>2740</v>
      </c>
      <c r="I232" s="29">
        <v>0.25</v>
      </c>
      <c r="J232" s="18">
        <v>3706</v>
      </c>
      <c r="K232" s="18">
        <v>3425</v>
      </c>
    </row>
    <row r="233" spans="1:11" x14ac:dyDescent="0.35">
      <c r="A233" s="17">
        <v>1787</v>
      </c>
      <c r="B233" s="17" t="s">
        <v>37</v>
      </c>
      <c r="C233" s="17">
        <v>1</v>
      </c>
      <c r="D233" s="17" t="s">
        <v>12</v>
      </c>
      <c r="E233" s="17">
        <v>35</v>
      </c>
      <c r="F233" s="17">
        <v>39</v>
      </c>
      <c r="G233" s="18">
        <v>3535</v>
      </c>
      <c r="H233" s="18">
        <v>3285</v>
      </c>
      <c r="I233" s="29">
        <v>0.25</v>
      </c>
      <c r="J233" s="18">
        <v>4419</v>
      </c>
      <c r="K233" s="18">
        <v>4106</v>
      </c>
    </row>
    <row r="234" spans="1:11" x14ac:dyDescent="0.35">
      <c r="A234" s="17">
        <v>1787</v>
      </c>
      <c r="B234" s="17" t="s">
        <v>37</v>
      </c>
      <c r="C234" s="17">
        <v>1</v>
      </c>
      <c r="D234" s="17" t="s">
        <v>13</v>
      </c>
      <c r="E234" s="17">
        <v>40</v>
      </c>
      <c r="F234" s="17">
        <v>44</v>
      </c>
      <c r="G234" s="18">
        <v>4260</v>
      </c>
      <c r="H234" s="18">
        <v>3965</v>
      </c>
      <c r="I234" s="29">
        <v>0.25</v>
      </c>
      <c r="J234" s="18">
        <v>5325</v>
      </c>
      <c r="K234" s="18">
        <v>4956</v>
      </c>
    </row>
    <row r="235" spans="1:11" x14ac:dyDescent="0.35">
      <c r="A235" s="17">
        <v>1787</v>
      </c>
      <c r="B235" s="17" t="s">
        <v>37</v>
      </c>
      <c r="C235" s="17">
        <v>1</v>
      </c>
      <c r="D235" s="17" t="s">
        <v>14</v>
      </c>
      <c r="E235" s="17">
        <v>45</v>
      </c>
      <c r="F235" s="17">
        <v>49</v>
      </c>
      <c r="G235" s="18">
        <v>5140</v>
      </c>
      <c r="H235" s="18">
        <v>4785</v>
      </c>
      <c r="I235" s="29">
        <v>0.25</v>
      </c>
      <c r="J235" s="18">
        <v>6425</v>
      </c>
      <c r="K235" s="18">
        <v>5981</v>
      </c>
    </row>
    <row r="236" spans="1:11" x14ac:dyDescent="0.35">
      <c r="A236" s="17">
        <v>1787</v>
      </c>
      <c r="B236" s="17" t="s">
        <v>37</v>
      </c>
      <c r="C236" s="17">
        <v>1</v>
      </c>
      <c r="D236" s="17" t="s">
        <v>15</v>
      </c>
      <c r="E236" s="17">
        <v>50</v>
      </c>
      <c r="F236" s="17">
        <v>54</v>
      </c>
      <c r="G236" s="18">
        <v>6230</v>
      </c>
      <c r="H236" s="18">
        <v>5820</v>
      </c>
      <c r="I236" s="29">
        <v>0.25</v>
      </c>
      <c r="J236" s="18">
        <v>7788</v>
      </c>
      <c r="K236" s="18">
        <v>7275</v>
      </c>
    </row>
    <row r="237" spans="1:11" x14ac:dyDescent="0.35">
      <c r="A237" s="17">
        <v>1787</v>
      </c>
      <c r="B237" s="17" t="s">
        <v>37</v>
      </c>
      <c r="C237" s="17">
        <v>1</v>
      </c>
      <c r="D237" s="17" t="s">
        <v>16</v>
      </c>
      <c r="E237" s="17">
        <v>55</v>
      </c>
      <c r="F237" s="17">
        <v>59</v>
      </c>
      <c r="G237" s="18">
        <v>7445</v>
      </c>
      <c r="H237" s="18">
        <v>6955</v>
      </c>
      <c r="I237" s="29">
        <v>0.25</v>
      </c>
      <c r="J237" s="18">
        <v>9306</v>
      </c>
      <c r="K237" s="18">
        <v>8694</v>
      </c>
    </row>
    <row r="238" spans="1:11" x14ac:dyDescent="0.35">
      <c r="A238" s="17">
        <v>1787</v>
      </c>
      <c r="B238" s="17" t="s">
        <v>37</v>
      </c>
      <c r="C238" s="17">
        <v>1</v>
      </c>
      <c r="D238" s="17" t="s">
        <v>17</v>
      </c>
      <c r="E238" s="17">
        <v>60</v>
      </c>
      <c r="F238" s="17">
        <v>64</v>
      </c>
      <c r="G238" s="18">
        <v>8785</v>
      </c>
      <c r="H238" s="18">
        <v>8190</v>
      </c>
      <c r="I238" s="29">
        <v>0.25</v>
      </c>
      <c r="J238" s="18">
        <v>10981</v>
      </c>
      <c r="K238" s="18">
        <v>10238</v>
      </c>
    </row>
    <row r="239" spans="1:11" x14ac:dyDescent="0.35">
      <c r="A239" s="17">
        <v>1787</v>
      </c>
      <c r="B239" s="17" t="s">
        <v>37</v>
      </c>
      <c r="C239" s="17">
        <v>1</v>
      </c>
      <c r="D239" s="17" t="s">
        <v>18</v>
      </c>
      <c r="E239" s="17">
        <v>65</v>
      </c>
      <c r="F239" s="17">
        <v>69</v>
      </c>
      <c r="G239" s="18">
        <v>10115</v>
      </c>
      <c r="H239" s="18">
        <v>9445</v>
      </c>
      <c r="I239" s="29">
        <v>0.25</v>
      </c>
      <c r="J239" s="18">
        <v>12644</v>
      </c>
      <c r="K239" s="18">
        <v>11806</v>
      </c>
    </row>
    <row r="240" spans="1:11" x14ac:dyDescent="0.35">
      <c r="A240" s="17">
        <v>1875</v>
      </c>
      <c r="B240" s="17" t="s">
        <v>38</v>
      </c>
      <c r="C240" s="17">
        <v>1</v>
      </c>
      <c r="D240" s="17" t="s">
        <v>5</v>
      </c>
      <c r="E240" s="17">
        <v>0</v>
      </c>
      <c r="F240" s="17">
        <v>4</v>
      </c>
      <c r="G240" s="18">
        <v>1250</v>
      </c>
      <c r="H240" s="18">
        <v>1140</v>
      </c>
      <c r="I240" s="29">
        <v>0.42</v>
      </c>
      <c r="J240" s="18">
        <v>1775</v>
      </c>
      <c r="K240" s="18">
        <v>1619</v>
      </c>
    </row>
    <row r="241" spans="1:11" x14ac:dyDescent="0.35">
      <c r="A241" s="17">
        <v>1875</v>
      </c>
      <c r="B241" s="17" t="s">
        <v>38</v>
      </c>
      <c r="C241" s="17">
        <v>1</v>
      </c>
      <c r="D241" s="17" t="s">
        <v>6</v>
      </c>
      <c r="E241" s="17">
        <v>5</v>
      </c>
      <c r="F241" s="17">
        <v>9</v>
      </c>
      <c r="G241" s="18">
        <v>1380</v>
      </c>
      <c r="H241" s="18">
        <v>1265</v>
      </c>
      <c r="I241" s="29">
        <v>0.42</v>
      </c>
      <c r="J241" s="18">
        <v>1960</v>
      </c>
      <c r="K241" s="18">
        <v>1796</v>
      </c>
    </row>
    <row r="242" spans="1:11" x14ac:dyDescent="0.35">
      <c r="A242" s="17">
        <v>1875</v>
      </c>
      <c r="B242" s="17" t="s">
        <v>38</v>
      </c>
      <c r="C242" s="17">
        <v>1</v>
      </c>
      <c r="D242" s="17" t="s">
        <v>7</v>
      </c>
      <c r="E242" s="17">
        <v>10</v>
      </c>
      <c r="F242" s="17">
        <v>14</v>
      </c>
      <c r="G242" s="18">
        <v>1590</v>
      </c>
      <c r="H242" s="18">
        <v>1475</v>
      </c>
      <c r="I242" s="29">
        <v>0.42</v>
      </c>
      <c r="J242" s="18">
        <v>2258</v>
      </c>
      <c r="K242" s="18">
        <v>2094</v>
      </c>
    </row>
    <row r="243" spans="1:11" x14ac:dyDescent="0.35">
      <c r="A243" s="17">
        <v>1875</v>
      </c>
      <c r="B243" s="17" t="s">
        <v>38</v>
      </c>
      <c r="C243" s="17">
        <v>1</v>
      </c>
      <c r="D243" s="17" t="s">
        <v>8</v>
      </c>
      <c r="E243" s="17">
        <v>15</v>
      </c>
      <c r="F243" s="17">
        <v>19</v>
      </c>
      <c r="G243" s="18">
        <v>1815</v>
      </c>
      <c r="H243" s="18">
        <v>1690</v>
      </c>
      <c r="I243" s="29">
        <v>0.42</v>
      </c>
      <c r="J243" s="18">
        <v>2577</v>
      </c>
      <c r="K243" s="18">
        <v>2400</v>
      </c>
    </row>
    <row r="244" spans="1:11" x14ac:dyDescent="0.35">
      <c r="A244" s="17">
        <v>1875</v>
      </c>
      <c r="B244" s="17" t="s">
        <v>38</v>
      </c>
      <c r="C244" s="17">
        <v>1</v>
      </c>
      <c r="D244" s="17" t="s">
        <v>9</v>
      </c>
      <c r="E244" s="17">
        <v>20</v>
      </c>
      <c r="F244" s="17">
        <v>24</v>
      </c>
      <c r="G244" s="18">
        <v>2055</v>
      </c>
      <c r="H244" s="18">
        <v>1900</v>
      </c>
      <c r="I244" s="29">
        <v>0.42</v>
      </c>
      <c r="J244" s="18">
        <v>2918</v>
      </c>
      <c r="K244" s="18">
        <v>2698</v>
      </c>
    </row>
    <row r="245" spans="1:11" x14ac:dyDescent="0.35">
      <c r="A245" s="17">
        <v>1875</v>
      </c>
      <c r="B245" s="17" t="s">
        <v>38</v>
      </c>
      <c r="C245" s="17">
        <v>1</v>
      </c>
      <c r="D245" s="17" t="s">
        <v>10</v>
      </c>
      <c r="E245" s="17">
        <v>25</v>
      </c>
      <c r="F245" s="17">
        <v>29</v>
      </c>
      <c r="G245" s="18">
        <v>2370</v>
      </c>
      <c r="H245" s="18">
        <v>2160</v>
      </c>
      <c r="I245" s="29">
        <v>0.42</v>
      </c>
      <c r="J245" s="18">
        <v>3365</v>
      </c>
      <c r="K245" s="18">
        <v>3067</v>
      </c>
    </row>
    <row r="246" spans="1:11" x14ac:dyDescent="0.35">
      <c r="A246" s="17">
        <v>1875</v>
      </c>
      <c r="B246" s="17" t="s">
        <v>38</v>
      </c>
      <c r="C246" s="17">
        <v>1</v>
      </c>
      <c r="D246" s="17" t="s">
        <v>11</v>
      </c>
      <c r="E246" s="17">
        <v>30</v>
      </c>
      <c r="F246" s="17">
        <v>34</v>
      </c>
      <c r="G246" s="18">
        <v>2790</v>
      </c>
      <c r="H246" s="18">
        <v>2550</v>
      </c>
      <c r="I246" s="29">
        <v>0.42</v>
      </c>
      <c r="J246" s="18">
        <v>3962</v>
      </c>
      <c r="K246" s="18">
        <v>3621</v>
      </c>
    </row>
    <row r="247" spans="1:11" x14ac:dyDescent="0.35">
      <c r="A247" s="17">
        <v>1875</v>
      </c>
      <c r="B247" s="17" t="s">
        <v>38</v>
      </c>
      <c r="C247" s="17">
        <v>1</v>
      </c>
      <c r="D247" s="17" t="s">
        <v>12</v>
      </c>
      <c r="E247" s="17">
        <v>35</v>
      </c>
      <c r="F247" s="17">
        <v>39</v>
      </c>
      <c r="G247" s="18">
        <v>3285</v>
      </c>
      <c r="H247" s="18">
        <v>3015</v>
      </c>
      <c r="I247" s="29">
        <v>0.42</v>
      </c>
      <c r="J247" s="18">
        <v>4665</v>
      </c>
      <c r="K247" s="18">
        <v>4281</v>
      </c>
    </row>
    <row r="248" spans="1:11" x14ac:dyDescent="0.35">
      <c r="A248" s="17">
        <v>1875</v>
      </c>
      <c r="B248" s="17" t="s">
        <v>38</v>
      </c>
      <c r="C248" s="17">
        <v>1</v>
      </c>
      <c r="D248" s="17" t="s">
        <v>13</v>
      </c>
      <c r="E248" s="17">
        <v>40</v>
      </c>
      <c r="F248" s="17">
        <v>44</v>
      </c>
      <c r="G248" s="18">
        <v>3890</v>
      </c>
      <c r="H248" s="18">
        <v>3585</v>
      </c>
      <c r="I248" s="29">
        <v>0.42</v>
      </c>
      <c r="J248" s="18">
        <v>5524</v>
      </c>
      <c r="K248" s="18">
        <v>5091</v>
      </c>
    </row>
    <row r="249" spans="1:11" x14ac:dyDescent="0.35">
      <c r="A249" s="17">
        <v>1875</v>
      </c>
      <c r="B249" s="17" t="s">
        <v>38</v>
      </c>
      <c r="C249" s="17">
        <v>1</v>
      </c>
      <c r="D249" s="17" t="s">
        <v>14</v>
      </c>
      <c r="E249" s="17">
        <v>45</v>
      </c>
      <c r="F249" s="17">
        <v>49</v>
      </c>
      <c r="G249" s="18">
        <v>4620</v>
      </c>
      <c r="H249" s="18">
        <v>4265</v>
      </c>
      <c r="I249" s="29">
        <v>0.42</v>
      </c>
      <c r="J249" s="18">
        <v>6560</v>
      </c>
      <c r="K249" s="18">
        <v>6056</v>
      </c>
    </row>
    <row r="250" spans="1:11" x14ac:dyDescent="0.35">
      <c r="A250" s="17">
        <v>1875</v>
      </c>
      <c r="B250" s="17" t="s">
        <v>38</v>
      </c>
      <c r="C250" s="17">
        <v>1</v>
      </c>
      <c r="D250" s="17" t="s">
        <v>15</v>
      </c>
      <c r="E250" s="17">
        <v>50</v>
      </c>
      <c r="F250" s="17">
        <v>54</v>
      </c>
      <c r="G250" s="18">
        <v>5525</v>
      </c>
      <c r="H250" s="18">
        <v>5105</v>
      </c>
      <c r="I250" s="29">
        <v>0.42</v>
      </c>
      <c r="J250" s="18">
        <v>7846</v>
      </c>
      <c r="K250" s="18">
        <v>7249</v>
      </c>
    </row>
    <row r="251" spans="1:11" x14ac:dyDescent="0.35">
      <c r="A251" s="17">
        <v>1875</v>
      </c>
      <c r="B251" s="17" t="s">
        <v>38</v>
      </c>
      <c r="C251" s="17">
        <v>1</v>
      </c>
      <c r="D251" s="17" t="s">
        <v>16</v>
      </c>
      <c r="E251" s="17">
        <v>55</v>
      </c>
      <c r="F251" s="17">
        <v>59</v>
      </c>
      <c r="G251" s="18">
        <v>6485</v>
      </c>
      <c r="H251" s="18">
        <v>6000</v>
      </c>
      <c r="I251" s="29">
        <v>0.42</v>
      </c>
      <c r="J251" s="18">
        <v>9209</v>
      </c>
      <c r="K251" s="18">
        <v>8520</v>
      </c>
    </row>
    <row r="252" spans="1:11" x14ac:dyDescent="0.35">
      <c r="A252" s="17">
        <v>1875</v>
      </c>
      <c r="B252" s="17" t="s">
        <v>38</v>
      </c>
      <c r="C252" s="17">
        <v>1</v>
      </c>
      <c r="D252" s="17" t="s">
        <v>17</v>
      </c>
      <c r="E252" s="17">
        <v>60</v>
      </c>
      <c r="F252" s="17">
        <v>64</v>
      </c>
      <c r="G252" s="18">
        <v>7480</v>
      </c>
      <c r="H252" s="18">
        <v>6935</v>
      </c>
      <c r="I252" s="29">
        <v>0.42</v>
      </c>
      <c r="J252" s="18">
        <v>10622</v>
      </c>
      <c r="K252" s="18">
        <v>9848</v>
      </c>
    </row>
    <row r="253" spans="1:11" x14ac:dyDescent="0.35">
      <c r="A253" s="17">
        <v>1875</v>
      </c>
      <c r="B253" s="17" t="s">
        <v>38</v>
      </c>
      <c r="C253" s="17">
        <v>1</v>
      </c>
      <c r="D253" s="17" t="s">
        <v>18</v>
      </c>
      <c r="E253" s="17">
        <v>65</v>
      </c>
      <c r="F253" s="17">
        <v>69</v>
      </c>
      <c r="G253" s="18">
        <v>8425</v>
      </c>
      <c r="H253" s="18">
        <v>7820</v>
      </c>
      <c r="I253" s="29">
        <v>0.42</v>
      </c>
      <c r="J253" s="18">
        <v>11964</v>
      </c>
      <c r="K253" s="18">
        <v>11104</v>
      </c>
    </row>
    <row r="254" spans="1:11" x14ac:dyDescent="0.35">
      <c r="A254" s="17">
        <v>1952</v>
      </c>
      <c r="B254" s="17" t="s">
        <v>35</v>
      </c>
      <c r="C254" s="17">
        <v>1</v>
      </c>
      <c r="D254" s="17" t="s">
        <v>5</v>
      </c>
      <c r="E254" s="17">
        <v>0</v>
      </c>
      <c r="F254" s="17">
        <v>4</v>
      </c>
      <c r="G254" s="18">
        <v>1395</v>
      </c>
      <c r="H254" s="18">
        <v>1285</v>
      </c>
      <c r="I254" s="29">
        <v>0.03</v>
      </c>
      <c r="J254" s="18">
        <v>1437</v>
      </c>
      <c r="K254" s="18">
        <v>1324</v>
      </c>
    </row>
    <row r="255" spans="1:11" x14ac:dyDescent="0.35">
      <c r="A255" s="17">
        <v>1952</v>
      </c>
      <c r="B255" s="17" t="s">
        <v>35</v>
      </c>
      <c r="C255" s="17">
        <v>1</v>
      </c>
      <c r="D255" s="17" t="s">
        <v>6</v>
      </c>
      <c r="E255" s="17">
        <v>5</v>
      </c>
      <c r="F255" s="17">
        <v>9</v>
      </c>
      <c r="G255" s="18">
        <v>1575</v>
      </c>
      <c r="H255" s="18">
        <v>1455</v>
      </c>
      <c r="I255" s="29">
        <v>0.03</v>
      </c>
      <c r="J255" s="18">
        <v>1622</v>
      </c>
      <c r="K255" s="18">
        <v>1499</v>
      </c>
    </row>
    <row r="256" spans="1:11" x14ac:dyDescent="0.35">
      <c r="A256" s="17">
        <v>1952</v>
      </c>
      <c r="B256" s="17" t="s">
        <v>35</v>
      </c>
      <c r="C256" s="17">
        <v>1</v>
      </c>
      <c r="D256" s="17" t="s">
        <v>7</v>
      </c>
      <c r="E256" s="17">
        <v>10</v>
      </c>
      <c r="F256" s="17">
        <v>14</v>
      </c>
      <c r="G256" s="18">
        <v>1835</v>
      </c>
      <c r="H256" s="18">
        <v>1710</v>
      </c>
      <c r="I256" s="29">
        <v>0.03</v>
      </c>
      <c r="J256" s="18">
        <v>1890</v>
      </c>
      <c r="K256" s="18">
        <v>1761</v>
      </c>
    </row>
    <row r="257" spans="1:11" x14ac:dyDescent="0.35">
      <c r="A257" s="17">
        <v>1952</v>
      </c>
      <c r="B257" s="17" t="s">
        <v>35</v>
      </c>
      <c r="C257" s="17">
        <v>1</v>
      </c>
      <c r="D257" s="17" t="s">
        <v>8</v>
      </c>
      <c r="E257" s="17">
        <v>15</v>
      </c>
      <c r="F257" s="17">
        <v>19</v>
      </c>
      <c r="G257" s="18">
        <v>2140</v>
      </c>
      <c r="H257" s="18">
        <v>1995</v>
      </c>
      <c r="I257" s="29">
        <v>0.03</v>
      </c>
      <c r="J257" s="18">
        <v>2204</v>
      </c>
      <c r="K257" s="18">
        <v>2055</v>
      </c>
    </row>
    <row r="258" spans="1:11" x14ac:dyDescent="0.35">
      <c r="A258" s="17">
        <v>1952</v>
      </c>
      <c r="B258" s="17" t="s">
        <v>35</v>
      </c>
      <c r="C258" s="17">
        <v>1</v>
      </c>
      <c r="D258" s="17" t="s">
        <v>9</v>
      </c>
      <c r="E258" s="17">
        <v>20</v>
      </c>
      <c r="F258" s="17">
        <v>24</v>
      </c>
      <c r="G258" s="18">
        <v>2480</v>
      </c>
      <c r="H258" s="18">
        <v>2300</v>
      </c>
      <c r="I258" s="29">
        <v>0.03</v>
      </c>
      <c r="J258" s="18">
        <v>2554</v>
      </c>
      <c r="K258" s="18">
        <v>2369</v>
      </c>
    </row>
    <row r="259" spans="1:11" x14ac:dyDescent="0.35">
      <c r="A259" s="17">
        <v>1952</v>
      </c>
      <c r="B259" s="17" t="s">
        <v>35</v>
      </c>
      <c r="C259" s="17">
        <v>1</v>
      </c>
      <c r="D259" s="17" t="s">
        <v>10</v>
      </c>
      <c r="E259" s="17">
        <v>25</v>
      </c>
      <c r="F259" s="17">
        <v>29</v>
      </c>
      <c r="G259" s="18">
        <v>2915</v>
      </c>
      <c r="H259" s="18">
        <v>2665</v>
      </c>
      <c r="I259" s="29">
        <v>0.03</v>
      </c>
      <c r="J259" s="18">
        <v>3002</v>
      </c>
      <c r="K259" s="18">
        <v>2745</v>
      </c>
    </row>
    <row r="260" spans="1:11" x14ac:dyDescent="0.35">
      <c r="A260" s="17">
        <v>1952</v>
      </c>
      <c r="B260" s="17" t="s">
        <v>35</v>
      </c>
      <c r="C260" s="17">
        <v>1</v>
      </c>
      <c r="D260" s="17" t="s">
        <v>11</v>
      </c>
      <c r="E260" s="17">
        <v>30</v>
      </c>
      <c r="F260" s="17">
        <v>34</v>
      </c>
      <c r="G260" s="18">
        <v>3460</v>
      </c>
      <c r="H260" s="18">
        <v>3185</v>
      </c>
      <c r="I260" s="29">
        <v>0.03</v>
      </c>
      <c r="J260" s="18">
        <v>3564</v>
      </c>
      <c r="K260" s="18">
        <v>3281</v>
      </c>
    </row>
    <row r="261" spans="1:11" x14ac:dyDescent="0.35">
      <c r="A261" s="17">
        <v>1952</v>
      </c>
      <c r="B261" s="17" t="s">
        <v>35</v>
      </c>
      <c r="C261" s="17">
        <v>1</v>
      </c>
      <c r="D261" s="17" t="s">
        <v>12</v>
      </c>
      <c r="E261" s="17">
        <v>35</v>
      </c>
      <c r="F261" s="17">
        <v>39</v>
      </c>
      <c r="G261" s="18">
        <v>4145</v>
      </c>
      <c r="H261" s="18">
        <v>3815</v>
      </c>
      <c r="I261" s="29">
        <v>0.03</v>
      </c>
      <c r="J261" s="18">
        <v>4269</v>
      </c>
      <c r="K261" s="18">
        <v>3929</v>
      </c>
    </row>
    <row r="262" spans="1:11" x14ac:dyDescent="0.35">
      <c r="A262" s="17">
        <v>1952</v>
      </c>
      <c r="B262" s="17" t="s">
        <v>35</v>
      </c>
      <c r="C262" s="17">
        <v>1</v>
      </c>
      <c r="D262" s="17" t="s">
        <v>13</v>
      </c>
      <c r="E262" s="17">
        <v>40</v>
      </c>
      <c r="F262" s="17">
        <v>44</v>
      </c>
      <c r="G262" s="18">
        <v>4960</v>
      </c>
      <c r="H262" s="18">
        <v>4585</v>
      </c>
      <c r="I262" s="29">
        <v>0.03</v>
      </c>
      <c r="J262" s="18">
        <v>5109</v>
      </c>
      <c r="K262" s="18">
        <v>4723</v>
      </c>
    </row>
    <row r="263" spans="1:11" x14ac:dyDescent="0.35">
      <c r="A263" s="17">
        <v>1952</v>
      </c>
      <c r="B263" s="17" t="s">
        <v>35</v>
      </c>
      <c r="C263" s="17">
        <v>1</v>
      </c>
      <c r="D263" s="17" t="s">
        <v>14</v>
      </c>
      <c r="E263" s="17">
        <v>45</v>
      </c>
      <c r="F263" s="17">
        <v>49</v>
      </c>
      <c r="G263" s="18">
        <v>5935</v>
      </c>
      <c r="H263" s="18">
        <v>5480</v>
      </c>
      <c r="I263" s="29">
        <v>0.03</v>
      </c>
      <c r="J263" s="18">
        <v>6113</v>
      </c>
      <c r="K263" s="18">
        <v>5644</v>
      </c>
    </row>
    <row r="264" spans="1:11" x14ac:dyDescent="0.35">
      <c r="A264" s="17">
        <v>1952</v>
      </c>
      <c r="B264" s="17" t="s">
        <v>35</v>
      </c>
      <c r="C264" s="17">
        <v>1</v>
      </c>
      <c r="D264" s="17" t="s">
        <v>15</v>
      </c>
      <c r="E264" s="17">
        <v>50</v>
      </c>
      <c r="F264" s="17">
        <v>54</v>
      </c>
      <c r="G264" s="18">
        <v>7150</v>
      </c>
      <c r="H264" s="18">
        <v>6620</v>
      </c>
      <c r="I264" s="29">
        <v>0.03</v>
      </c>
      <c r="J264" s="18">
        <v>7364</v>
      </c>
      <c r="K264" s="18">
        <v>6819</v>
      </c>
    </row>
    <row r="265" spans="1:11" x14ac:dyDescent="0.35">
      <c r="A265" s="17">
        <v>1952</v>
      </c>
      <c r="B265" s="17" t="s">
        <v>35</v>
      </c>
      <c r="C265" s="17">
        <v>1</v>
      </c>
      <c r="D265" s="17" t="s">
        <v>16</v>
      </c>
      <c r="E265" s="17">
        <v>55</v>
      </c>
      <c r="F265" s="17">
        <v>59</v>
      </c>
      <c r="G265" s="18">
        <v>8525</v>
      </c>
      <c r="H265" s="18">
        <v>7890</v>
      </c>
      <c r="I265" s="29">
        <v>0.03</v>
      </c>
      <c r="J265" s="18">
        <v>8781</v>
      </c>
      <c r="K265" s="18">
        <v>8127</v>
      </c>
    </row>
    <row r="266" spans="1:11" x14ac:dyDescent="0.35">
      <c r="A266" s="17">
        <v>1952</v>
      </c>
      <c r="B266" s="17" t="s">
        <v>35</v>
      </c>
      <c r="C266" s="17">
        <v>1</v>
      </c>
      <c r="D266" s="17" t="s">
        <v>17</v>
      </c>
      <c r="E266" s="17">
        <v>60</v>
      </c>
      <c r="F266" s="17">
        <v>64</v>
      </c>
      <c r="G266" s="18">
        <v>9980</v>
      </c>
      <c r="H266" s="18">
        <v>9280</v>
      </c>
      <c r="I266" s="29">
        <v>0.03</v>
      </c>
      <c r="J266" s="18">
        <v>10279</v>
      </c>
      <c r="K266" s="18">
        <v>9558</v>
      </c>
    </row>
    <row r="267" spans="1:11" x14ac:dyDescent="0.35">
      <c r="A267" s="17">
        <v>1952</v>
      </c>
      <c r="B267" s="17" t="s">
        <v>35</v>
      </c>
      <c r="C267" s="17">
        <v>1</v>
      </c>
      <c r="D267" s="17" t="s">
        <v>18</v>
      </c>
      <c r="E267" s="17">
        <v>65</v>
      </c>
      <c r="F267" s="17">
        <v>69</v>
      </c>
      <c r="G267" s="18">
        <v>11450</v>
      </c>
      <c r="H267" s="18">
        <v>10600</v>
      </c>
      <c r="I267" s="29">
        <v>0.03</v>
      </c>
      <c r="J267" s="18">
        <v>11794</v>
      </c>
      <c r="K267" s="18">
        <v>10918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EF902-2286-4652-814B-233ADEAEC99A}">
  <sheetPr codeName="Hoja3"/>
  <dimension ref="B2:H16"/>
  <sheetViews>
    <sheetView tabSelected="1" zoomScale="90" zoomScaleNormal="90" workbookViewId="0">
      <selection activeCell="H15" sqref="H15"/>
    </sheetView>
  </sheetViews>
  <sheetFormatPr baseColWidth="10" defaultRowHeight="14.5" x14ac:dyDescent="0.35"/>
  <cols>
    <col min="2" max="2" width="12.7265625" bestFit="1" customWidth="1"/>
    <col min="3" max="3" width="12" bestFit="1" customWidth="1"/>
    <col min="4" max="4" width="12.08984375" bestFit="1" customWidth="1"/>
    <col min="5" max="5" width="15.26953125" bestFit="1" customWidth="1"/>
    <col min="6" max="6" width="13.453125" bestFit="1" customWidth="1"/>
  </cols>
  <sheetData>
    <row r="2" spans="2:8" x14ac:dyDescent="0.35">
      <c r="B2" s="25" t="s">
        <v>45</v>
      </c>
      <c r="C2" s="25" t="s">
        <v>43</v>
      </c>
      <c r="D2" s="25" t="s">
        <v>44</v>
      </c>
      <c r="E2" s="26" t="s">
        <v>61</v>
      </c>
      <c r="F2" s="26" t="s">
        <v>62</v>
      </c>
      <c r="G2" s="5"/>
      <c r="H2" s="5"/>
    </row>
    <row r="3" spans="2:8" x14ac:dyDescent="0.35">
      <c r="B3" t="s">
        <v>5</v>
      </c>
      <c r="C3">
        <v>0</v>
      </c>
      <c r="D3">
        <v>4</v>
      </c>
      <c r="E3">
        <v>1200</v>
      </c>
      <c r="F3">
        <v>1100</v>
      </c>
      <c r="G3" s="4"/>
      <c r="H3" s="4"/>
    </row>
    <row r="4" spans="2:8" x14ac:dyDescent="0.35">
      <c r="B4" t="s">
        <v>6</v>
      </c>
      <c r="C4">
        <v>5</v>
      </c>
      <c r="D4">
        <v>9</v>
      </c>
      <c r="E4">
        <v>1300</v>
      </c>
      <c r="F4">
        <v>1200</v>
      </c>
      <c r="G4" s="4"/>
      <c r="H4" s="4"/>
    </row>
    <row r="5" spans="2:8" x14ac:dyDescent="0.35">
      <c r="B5" t="s">
        <v>7</v>
      </c>
      <c r="C5">
        <v>10</v>
      </c>
      <c r="D5">
        <v>14</v>
      </c>
      <c r="E5">
        <v>1500</v>
      </c>
      <c r="F5">
        <v>1400</v>
      </c>
      <c r="G5" s="4"/>
      <c r="H5" s="4"/>
    </row>
    <row r="6" spans="2:8" x14ac:dyDescent="0.35">
      <c r="B6" t="s">
        <v>8</v>
      </c>
      <c r="C6">
        <v>15</v>
      </c>
      <c r="D6">
        <v>19</v>
      </c>
      <c r="E6">
        <v>1700</v>
      </c>
      <c r="F6">
        <v>1600</v>
      </c>
      <c r="G6" s="4"/>
      <c r="H6" s="4"/>
    </row>
    <row r="7" spans="2:8" x14ac:dyDescent="0.35">
      <c r="B7" t="s">
        <v>9</v>
      </c>
      <c r="C7">
        <v>20</v>
      </c>
      <c r="D7">
        <v>24</v>
      </c>
      <c r="E7">
        <v>1900</v>
      </c>
      <c r="F7">
        <v>1800</v>
      </c>
      <c r="G7" s="4"/>
      <c r="H7" s="4"/>
    </row>
    <row r="8" spans="2:8" x14ac:dyDescent="0.35">
      <c r="B8" t="s">
        <v>10</v>
      </c>
      <c r="C8">
        <v>25</v>
      </c>
      <c r="D8">
        <v>29</v>
      </c>
      <c r="E8">
        <v>2200</v>
      </c>
      <c r="F8">
        <v>2000</v>
      </c>
      <c r="G8" s="4"/>
      <c r="H8" s="4"/>
    </row>
    <row r="9" spans="2:8" x14ac:dyDescent="0.35">
      <c r="B9" t="s">
        <v>11</v>
      </c>
      <c r="C9">
        <v>30</v>
      </c>
      <c r="D9">
        <v>34</v>
      </c>
      <c r="E9">
        <v>2600</v>
      </c>
      <c r="F9">
        <v>2400</v>
      </c>
      <c r="G9" s="4"/>
      <c r="H9" s="4"/>
    </row>
    <row r="10" spans="2:8" x14ac:dyDescent="0.35">
      <c r="B10" t="s">
        <v>12</v>
      </c>
      <c r="C10">
        <v>35</v>
      </c>
      <c r="D10">
        <v>39</v>
      </c>
      <c r="E10">
        <v>3000</v>
      </c>
      <c r="F10">
        <v>2800</v>
      </c>
      <c r="G10" s="4"/>
      <c r="H10" s="4"/>
    </row>
    <row r="11" spans="2:8" x14ac:dyDescent="0.35">
      <c r="B11" t="s">
        <v>13</v>
      </c>
      <c r="C11">
        <v>40</v>
      </c>
      <c r="D11">
        <v>44</v>
      </c>
      <c r="E11">
        <v>3500</v>
      </c>
      <c r="F11">
        <v>3300</v>
      </c>
      <c r="G11" s="4"/>
      <c r="H11" s="4"/>
    </row>
    <row r="12" spans="2:8" x14ac:dyDescent="0.35">
      <c r="B12" t="s">
        <v>14</v>
      </c>
      <c r="C12">
        <v>45</v>
      </c>
      <c r="D12">
        <v>49</v>
      </c>
      <c r="E12">
        <v>4200</v>
      </c>
      <c r="F12">
        <v>3900</v>
      </c>
      <c r="G12" s="4"/>
      <c r="H12" s="4"/>
    </row>
    <row r="13" spans="2:8" x14ac:dyDescent="0.35">
      <c r="B13" t="s">
        <v>15</v>
      </c>
      <c r="C13">
        <v>50</v>
      </c>
      <c r="D13">
        <v>54</v>
      </c>
      <c r="E13">
        <v>5000</v>
      </c>
      <c r="F13">
        <v>4700</v>
      </c>
      <c r="G13" s="4"/>
      <c r="H13" s="4"/>
    </row>
    <row r="14" spans="2:8" x14ac:dyDescent="0.35">
      <c r="B14" t="s">
        <v>16</v>
      </c>
      <c r="C14">
        <v>55</v>
      </c>
      <c r="D14">
        <v>59</v>
      </c>
      <c r="E14">
        <v>5800</v>
      </c>
      <c r="F14">
        <v>5500</v>
      </c>
      <c r="G14" s="4"/>
      <c r="H14" s="4"/>
    </row>
    <row r="15" spans="2:8" x14ac:dyDescent="0.35">
      <c r="B15" t="s">
        <v>17</v>
      </c>
      <c r="C15">
        <v>60</v>
      </c>
      <c r="D15">
        <v>64</v>
      </c>
      <c r="E15">
        <v>6600</v>
      </c>
      <c r="F15">
        <v>6200</v>
      </c>
      <c r="G15" s="4"/>
      <c r="H15" s="4"/>
    </row>
    <row r="16" spans="2:8" x14ac:dyDescent="0.35">
      <c r="B16" t="s">
        <v>18</v>
      </c>
      <c r="C16">
        <v>65</v>
      </c>
      <c r="D16">
        <v>69</v>
      </c>
      <c r="E16">
        <v>7200</v>
      </c>
      <c r="F16">
        <v>6800</v>
      </c>
      <c r="G16" s="4"/>
      <c r="H16" s="4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DATOS</vt:lpstr>
      <vt:lpstr>POLIZARIO</vt:lpstr>
      <vt:lpstr>PROPUESTA</vt:lpstr>
      <vt:lpstr>MODIFICACIONES</vt:lpstr>
      <vt:lpstr>Hoja2</vt:lpstr>
      <vt:lpstr>RANGO_CENSO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Sánchez García Malinalli</dc:creator>
  <cp:lastModifiedBy>MALINALLI SANCHEZ GARCIA</cp:lastModifiedBy>
  <dcterms:created xsi:type="dcterms:W3CDTF">2025-11-10T03:22:40Z</dcterms:created>
  <dcterms:modified xsi:type="dcterms:W3CDTF">2026-05-30T22:39:27Z</dcterms:modified>
</cp:coreProperties>
</file>